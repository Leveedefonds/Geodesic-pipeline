
<file path=[Content_Types].xml><?xml version="1.0" encoding="utf-8"?>
<Types xmlns="http://schemas.openxmlformats.org/package/2006/content-types">
  <Default Extension="avif" ContentType="image/avif"/>
  <Default Extension="bmp" ContentType="image/bmp"/>
  <Default Extension="gif" ContentType="image/gif"/>
  <Default Extension="ico" ContentType="image/vnd.microsoft.icon"/>
  <Default Extension="jpeg" ContentType="image/jpeg"/>
  <Default Extension="png" ContentType="image/png"/>
  <Default Extension="tiff" ContentType="image/tiff"/>
  <Default Extension="webp" ContentType="image/webp"/>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table+xml" PartName="/xl/tables/table1.xml"/>
  <Override ContentType="application/vnd.openxmlformats-officedocument.spreadsheetml.worksheet+xml" PartName="/xl/worksheets/sheet0.xml"/>
  <Override ContentType="application/vnd.openxmlformats-officedocument.spreadsheetml.sheetMetadata+xml" PartName="/xl/metadata.xml"/>
  <Override ContentType="application/vnd.openxmlformats-officedocument.spreadsheetml.styles+xml" PartName="/xl/styles.xml"/>
  <Override ContentType="application/vnd.openxmlformats-officedocument.spreadsheetml.sharedStrings+xml" PartName="/xl/sharedStrings.xml"/>
</Types>
</file>

<file path=_rels/.rels><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state="visible" name="Pipeline (Liste #1)" sheetId="1" r:id="rId1"/>
  </sheets>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<sst xmlns="http://schemas.openxmlformats.org/spreadsheetml/2006/main" count="215" uniqueCount="215">
  <si>
    <t xml:space="preserve">    Fichier LP</t>
  </si>
  <si>
    <t>Fonds</t>
  </si>
  <si>
    <t>Typologie</t>
  </si>
  <si>
    <t>Entité</t>
  </si>
  <si>
    <t>Contact</t>
  </si>
  <si>
    <t>Contact Levée</t>
  </si>
  <si>
    <t>Commentaire</t>
  </si>
  <si>
    <t>Commentaire2</t>
  </si>
  <si>
    <t>Commentaire3</t>
  </si>
  <si>
    <t>Commentaire4</t>
  </si>
  <si>
    <t>Activités</t>
  </si>
  <si>
    <t>Étape</t>
  </si>
  <si>
    <t>Intérêt</t>
  </si>
  <si>
    <t>Date de dernière activité</t>
  </si>
  <si>
    <t>Dernière activité</t>
  </si>
  <si>
    <t>Date de prochaine activité</t>
  </si>
  <si>
    <t>Prochaine activité</t>
  </si>
  <si>
    <t>Revenu attendu</t>
  </si>
  <si>
    <t>Ticket</t>
  </si>
  <si>
    <t>% de Maturation</t>
  </si>
  <si>
    <t>Matu.</t>
  </si>
  <si>
    <t>Tri</t>
  </si>
  <si>
    <t>compteur</t>
  </si>
  <si>
    <t>DEEPTECH - Geodesic-Expansion</t>
  </si>
  <si>
    <t>HNWI</t>
  </si>
  <si>
    <t>Bruno Froideval</t>
  </si>
  <si>
    <t>Edouard Gaurier</t>
  </si>
  <si>
    <t>&lt;p&gt;Piste créée pour équipe Ventes, tentative d'enrichissement échouée (email invalide), aucune activité ou échange significatif enregistré depuis. Opportunité finalisée en octobre 2025, pas d'action ou de suivi récent, aucune prochaine étape identifiée à ce jour.&lt;/p&gt;</t>
  </si>
  <si>
    <t>Souscription réalisée</t>
  </si>
  <si>
    <t>Multi Family Office</t>
  </si>
  <si>
    <t>SAPIANS</t>
  </si>
  <si>
    <t>Etienne de Saint-germain</t>
  </si>
  <si>
    <t>&lt;p&gt;Nouvelle piste créée équipe Ventes. Tentative d'enrichissement lead échouée (email invalide). Ticket potentiel évoqué courant février pour 375k. Aucun retour prospect sur fonds présentés, pas d'activité récente, aucune action ou prochaine étape identifiée à ce jour.&lt;/p&gt;</t>
  </si>
  <si>
    <t>Fabrice de Rohan Chabot</t>
  </si>
  <si>
    <t>&lt;p&gt;Contact CB établi. 28/02/2026 : nouveau 100K engagé dans Géodesic, attente signature BS et virement avant 09/03/2026, date de fin AK privés Géodesic. Suivi en attente, aucune activité complémentaire ni retour prospect sur fonds présentés. Lead créé pour équipe Ventes.&lt;/p&gt;</t>
  </si>
  <si>
    <t>&lt;p&gt;Piste créée pour équipe Ventes, enrichissement impossible (email invalide), aucune activité ou échange prospect relevé, finalisée en février 2026. Aucune prochaine action prévue, pas de retour prospect ni de conclusion sur fonds présentés.&lt;/p&gt;</t>
  </si>
  <si>
    <t>Pierre Vangeon</t>
  </si>
  <si>
    <t>&lt;p&gt;Nouvelle piste créée pour équipe Ventes le 03/02/2026. Tentative d'enrichissement lead échouée (email invalide). Aucun échange ou action ultérieure enregistrée. Mention d'une finalisation en octobre 2025, sans détail. Pas d'activité récente ni prochaine étape identifiée.&lt;/p&gt;</t>
  </si>
  <si>
    <t>Patrick Roser</t>
  </si>
  <si>
    <t>&lt;p data-oe-version="2.0"&gt;Revalider date pour echange dejeuner et possible nouveau ticket de 100K&lt;/p&gt;</t>
  </si>
  <si>
    <t>CGP</t>
  </si>
  <si>
    <t>Wagner Gestion Privée</t>
  </si>
  <si>
    <t>Franck GIRARD</t>
  </si>
  <si>
    <t>&lt;p&gt;03/02/2026: Long échange explicatif, confiance renouvelée, décision de maintenir le ticket dans Géodesic. 28/01/2026: Proposition de call 30 min sur remploi pour deux fonds. Lead créé pour équipe Ventes. Pas d'autres activités ni prochaines actions planifiées à ce jour.&lt;/p&gt;</t>
  </si>
  <si>
    <t>&lt;p&gt;26/02 call prospect, évoqué possible nouvel investissement 100K Géodesic, prospect ouvert à échange, déjeuner envisagé le 24/03 chez Bourrienne, attente confirmation. Aucun retour prospect sur fonds présentés à ce stade. Prochaine étape : organiser déjeuner, relancer si besoin.&lt;/p&gt;</t>
  </si>
  <si>
    <t>Déjeuner Possible</t>
  </si>
  <si>
    <t>Interêt indicatif - A creuser</t>
  </si>
  <si>
    <t>Frédéric Duponchel</t>
  </si>
  <si>
    <t>Levée de Fonds</t>
  </si>
  <si>
    <t>&lt;p&gt;Lead créé équipe Ventes, mention OdP, aucune activité ou échange ultérieur enregistré, pas d'action menée ni de retour prospect, aucune prochaine étape identifiée. Aucun suivi ou interaction supplémentaire depuis la création de la piste. Pas d'avis prospect sur les fonds présentés. Aucun passage en comité mentionné.&lt;/p&gt;</t>
  </si>
  <si>
    <t>Gwenn Delamaire</t>
  </si>
  <si>
    <t>Gwen Delamer</t>
  </si>
  <si>
    <t>&lt;p&gt;11 mars : échange physique avec OdP, intérêt exprimé pour levée Latitude, deal ATDI, mention d'événement LP. Lead initié par OdP. Pas de retour prospect détaillé sur fonds, prochaines étapes non précisées, dernière activité enregistrée le 18 mars. Suivi à poursuivre.&lt;/p&gt;</t>
  </si>
  <si>
    <t>DAYLIGHT CONSEILS</t>
  </si>
  <si>
    <t>Dorian Lagarnaudi</t>
  </si>
  <si>
    <t>&lt;p&gt;Déj. 24/03 avec Daylight FO (Charles, Olivier, Thomas). Call 27/03 pour valider offre bancaire refinancement PTF global : attente offres écrites banques, possible 1M dans Géodesic, 1M dans Straton. Prochaine étape : réception offres écrites, suivi à prévoir.&lt;/p&gt;</t>
  </si>
  <si>
    <t>Banque (haut de bilan)</t>
  </si>
  <si>
    <t>CA INDOSUEZ Wealth Management</t>
  </si>
  <si>
    <t>Amaury BALMONT</t>
  </si>
  <si>
    <t>Romain Andrieu</t>
  </si>
  <si>
    <t>&lt;p&gt;Piste créée pour équipe Ventes (18/02). Aucune action significative menée depuis, pas d'échange ou retour prospect enregistré. Prochaine étape prévue : déjeuner avec Benoit Bourdin le 7 avril. Aucun retour prospect sur fonds présentés, pas de conclusion ou avis exprimé à ce jour.&lt;/p&gt;</t>
  </si>
  <si>
    <t>Déjeuner avec Benoit Bourdin le 7 avril</t>
  </si>
  <si>
    <t>Intérêt à qualifier</t>
  </si>
  <si>
    <t>EMERAUDE CAPITAL</t>
  </si>
  <si>
    <t>Benjamin Continente</t>
  </si>
  <si>
    <t>Pauline Cavalié</t>
  </si>
  <si>
    <t>&lt;p&gt;Visio 08/01 présentation Audacia/Emeraude, demande infos sur Géodésic/fonds Défense. Plusieurs appels pour RDV Paris/Toulouse avec B. Continente, relances sans réponse, indisponible jusqu'au 9/03, passage Paris 23/24 mars. Prochaine étape : rappeler pour fixer RDV à Paris/Toulouse courant mars.&lt;/p&gt;</t>
  </si>
  <si>
    <t>Pas encore prêt - A alimenter</t>
  </si>
  <si>
    <t>SYNAPSIS PATRIMOINE</t>
  </si>
  <si>
    <t>Guillaume Duport</t>
  </si>
  <si>
    <t>&lt;p&gt;Café Toulouse 24/03 avec Guillaume Duport, échanges sur fonds Audacia, contact à venir avec Métagram/Patrinum, intérêt marqué pour fonds Défense, questions sur valos/dealflow, tickets habituels 100k hors VC, mail de suivi et RDV visio avec Thomas S prévus. Relances et organisation en amont par Pauline Cavalié.&lt;/p&gt;</t>
  </si>
  <si>
    <t>INHESTIA</t>
  </si>
  <si>
    <t>Benoit COINTE</t>
  </si>
  <si>
    <t>&lt;p&gt;RDV physique 24/03 à Toulouse : reporting fonds Constellation 3, clients appétents PME/non coté, philanthropie (éducation, environnement), intérêt fonds Straton. Prochaine étape : rappeler en avril/mai pour phase d’investissement concrète avec clients. Prise de nouvelles prévue mi-avril.&lt;/p&gt;</t>
  </si>
  <si>
    <t>Prise de nouvelles en avril</t>
  </si>
  <si>
    <t>Norman K</t>
  </si>
  <si>
    <t>Brice Monvoisin</t>
  </si>
  <si>
    <t>&lt;p&gt;03/02/2026: Info clients remploi et Aj Géodesic en cours. Nouvelle piste créée pour équipe Ventes. Pas d'autres échanges ou actions récentes identifiés. Prochaines étapes non précisées, aucun retour explicite des prospects sur les fonds présentés. Suivi à actualiser selon prochaines interactions.&lt;/p&gt;</t>
  </si>
  <si>
    <t>Atrio CGP</t>
  </si>
  <si>
    <t>Julien Lemoine</t>
  </si>
  <si>
    <t>&lt;p&gt;04/02 prospect a un client potentiellement intéressé, retour attendu mi-février. Lead enrichissement impossible (email invalide). Nouvelle piste créée pour équipe Ventes. Pas d'autres actions ou retours prospect sur fonds présentés. Prochaine étape : confirmation client mi-février.&lt;/p&gt;</t>
  </si>
  <si>
    <t>Arwen MFO</t>
  </si>
  <si>
    <t>Gwendal Garrigue</t>
  </si>
  <si>
    <t>&lt;p&gt;09/02 point PTF C2 avec Thomas. Lead créé pour équipe Ventes. Tentative d'enrichissement échouée (email invalide). Aucune activité ou action complémentaire enregistrée, prochaines étapes non précisées. Pas de retour prospect ni de conclusion sur fonds présentés.&lt;/p&gt;</t>
  </si>
  <si>
    <t>Banque privée</t>
  </si>
  <si>
    <t>Picket Wealth</t>
  </si>
  <si>
    <t>Karine Wilkinson</t>
  </si>
  <si>
    <t>&lt;p&gt;05/02/2026 : Infos transmises, clients potentiellement intéressés, attente confirmation pour fixer rencontre avec Charles. Enrichissement lead impossible (email non valide). Nouvelle piste créée équipe Ventes. Prochaine étape : attente retour client pour RDV.&lt;/p&gt;</t>
  </si>
  <si>
    <t>Rydge KPMG</t>
  </si>
  <si>
    <t>Edouard Sommade</t>
  </si>
  <si>
    <t>&lt;p&gt;Intérêt fort confirmé pour nos stratégies diversification/remploi, partenariat long envisagé après screening complet d'Audacia. Accord de principe pour fonds remploi, conditions financières à préparer. Dernière action&amp;nbsp;: message laissé pour suivi convention partenaire le 27/03. Prochaine étape&amp;nbsp;: attendre retour partenaire.&lt;/p&gt;</t>
  </si>
  <si>
    <t>B Durand MFO</t>
  </si>
  <si>
    <t>David Gau</t>
  </si>
  <si>
    <t>&lt;p&gt;04/02 : info actus et ak transmises, clients potentiellement intéressés, attente confirmation. Enrichissement lead impossible (email non valide). Nouvelle piste créée pour équipe Ventes. Pas d'autres actions ou retours prospects à ce stade, prochaine étape : retour client attendu.&lt;/p&gt;</t>
  </si>
  <si>
    <t>Single Family Office</t>
  </si>
  <si>
    <t>AXIAN</t>
  </si>
  <si>
    <t>Marc Ramilison</t>
  </si>
  <si>
    <t>&lt;p&gt;RDV physique 20/02 : échanges avec Agnes Berri et Marc Ramilison sur DPI, fonds 1/2, capacité d'investir 1M€ en S2 2026, exit 20M€ best case, pas d'équalisation ni carried, intérêt pour deck/doc, tech appréciée. En attente retour suite envoi docs/réponses. Prochaine étape : retour GEODESIC, capacité juin.&lt;/p&gt;</t>
  </si>
  <si>
    <t>relance faite GEODESIC (en capacité pour Juin) En attente du retour suite au envoi documentaire et réponses aux questions posées</t>
  </si>
  <si>
    <t>Assurance/Mutuelle</t>
  </si>
  <si>
    <t>AMFIE</t>
  </si>
  <si>
    <t>Stephane ARGYROPOULOS</t>
  </si>
  <si>
    <t>&lt;p&gt;Déjeuner le 10/03 avec edilia.gaenz@fedora-circle.com (dossier Cérélia) pour échange fonds de fonds. Action menée par Romain Andrieu. Prochaine étape : relancer Stephane sur la partie fonds de fonds avant le 20/03. Pas de retour prospect sur fonds présentés à ce stade.&lt;/p&gt;</t>
  </si>
  <si>
    <t>Relancer Stephane sur la partie fonds de fonds</t>
  </si>
  <si>
    <t>OUTMATCH INVEST</t>
  </si>
  <si>
    <t>Thomas Sanson</t>
  </si>
  <si>
    <t>&lt;p&gt;Piste OUTMATCH INVEST créée équipe Ventes 28/01. Intérêt souverain noté, pas d'autres échanges ou actions menées. Enrichissement lead impossible (email non valide). Aucune activité ni prochaine étape identifiée à ce jour, pas de retour prospect sur fonds présentés.&lt;/p&gt;</t>
  </si>
  <si>
    <t>ROTHSCHILD MARTIN MAUREL</t>
  </si>
  <si>
    <t>Florian de Billy</t>
  </si>
  <si>
    <t>&lt;p&gt;RDV physique Lyon 07/02/2026, revue 360°, Florian pousse à agir en direct Lyon-Genève, référencement fonds jugé trop long. Action : caler RDV Lyon. Dernière relance faite, attente de réponse. Prochaine étape : suivre retour prospect, relance prévue, pas d'autres actions planifiées à ce jour.&lt;/p&gt;</t>
  </si>
  <si>
    <t>Nouvelle relance faite</t>
  </si>
  <si>
    <t>OFFICIUM ASSET MANAGEMENT</t>
  </si>
  <si>
    <t>Pierre Salomero</t>
  </si>
  <si>
    <t>&lt;p&gt;Aucune activité menée sur le prospect. Société de gestion de fortune à Paris, intéressée par infos sur fonds éligibles 150 OB ter : C4 et Géodésic. Nouvelle piste créée pour équipe Ventes, pas d'échanges ou actions récentes enregistrées. Prochaines étapes à définir.&lt;/p&gt;</t>
  </si>
  <si>
    <t>Fiblac</t>
  </si>
  <si>
    <t>Hugo de Gérauvillier</t>
  </si>
  <si>
    <t>&lt;p&gt;Point actu sur fonds deeptech, docs à envoyer pour alimenter. Tentative d'enrichissement lead échouée (email invalide). Nouvelle piste créée pour équipe Ventes. Prochaine étape : envoi de documentation. Pas d'autres actions ou retours prospects mentionnés.&lt;/p&gt;</t>
  </si>
  <si>
    <t>COME, LE FAMILY OFFICE</t>
  </si>
  <si>
    <t>Julien Codina</t>
  </si>
  <si>
    <t>&lt;p&gt;Appel EG à Paul Cromback (Audacia) : prise de nouvelles, clients intéressés par LBO/secondaire, bonne connaissance Audacia. Envoi fonds Straton et FCPI Capital Innovation. Piste enrichie (infos Côme, multi-family office, expertise gestion patrimoniale). Pas d'action future planifiée.&lt;/p&gt;</t>
  </si>
  <si>
    <t>Hedon Family Office</t>
  </si>
  <si>
    <t>Aynard de Mons</t>
  </si>
  <si>
    <t>&lt;p&gt;Aucune activité ou échange significatif enregistré sur l'opportunité Hedon Family Office. Seule information : nouvelle piste créée pour l'équipe Ventes par Romain Andrieu le 10/02/2026. Aucun suivi, action ou retour prospect identifié à ce jour. Prochaines étapes non définies.&lt;/p&gt;</t>
  </si>
  <si>
    <t>relance faite &lt;&gt; me doit ou retour sur une première famille Belgo Luxembourgeoise</t>
  </si>
  <si>
    <t>LEONE KAPITAL</t>
  </si>
  <si>
    <t>Constantin Jahan</t>
  </si>
  <si>
    <t>&lt;p&gt;RDV Claire-Marie x Pauline : Présentation fonds 150 OB ter, Géodésic, Constellation IV. Intérêt pour evergreen, secondaire, dette privée, infra, liquidité. Présentations envoyées, relances faites. Peu d'intérêt client sur Straton à ce stade. Dernier mail pour RDV envoyé 20/01. Suivi à poursuivre.&lt;/p&gt;</t>
  </si>
  <si>
    <t>CAISSE D'EPARGNE PREVOYANCE COTE D'AZUR</t>
  </si>
  <si>
    <t>Alexandra GOLOVANOW</t>
  </si>
  <si>
    <t>&lt;p&gt;RDV physique 16/03 à Bourrienne, revue d'activités, évoqué quantique et geodesic. Suivi en cours pour co-investissement avec EXPANSION sur territoire CECAZ, instruction à poursuivre par Expansion. Prochaine étape : suivi instruction, deadline 26/03. Pas de retour prospect sur fonds à ce stade.&lt;/p&gt;</t>
  </si>
  <si>
    <t>Pour EXPANSION &lt;&gt; co-invest sur le territoire de la CECAZ / suivre l'instruction par Expansion</t>
  </si>
  <si>
    <t>KL Conseil Notaires</t>
  </si>
  <si>
    <t>Caroline Emerique</t>
  </si>
  <si>
    <t>&lt;p&gt;Présentation fonds Audacia au prospect pour étudier un partenariat et envoi de dossiers (28/01). Enrichissement lead impossible (email non valide). Nouvelle piste créée pour équipe Ventes. Pas de retour prospect ni d'activité ultérieure enregistrée. Prochaines étapes non définies.&lt;/p&gt;</t>
  </si>
  <si>
    <t>Galise MFO</t>
  </si>
  <si>
    <t>Agnès Brulé</t>
  </si>
  <si>
    <t>&lt;p&gt;Aucune activité ni échange significatif relevé sur cette opportunité depuis la création de la piste pour l'équipe "Ventes". Aucun suivi, action ou retour prospect enregistré à ce jour. Pas de prochaine étape identifiée ni de conclusion sur l'intérêt ou le ressenti du prospect.&lt;/p&gt;</t>
  </si>
  <si>
    <t>Norman K. Luxembourg SA</t>
  </si>
  <si>
    <t>Nicolas Meyer</t>
  </si>
  <si>
    <t>&lt;p&gt;25/02/2026 : call avec Nicolas Meyer pour organiser rencontre à Paris, cible gros clients HNWI. Nouvelle piste créée équipe Ventes. Enrichissement lead impossible (email invalide). Prochaine étape : rencontre prévue le 15/04/2026. Pas d'autres retours prospects ni conclusions sur fonds à ce stade.&lt;/p&gt;</t>
  </si>
  <si>
    <t>Rencontre</t>
  </si>
  <si>
    <t>1619.vc</t>
  </si>
  <si>
    <t>&lt;p&gt;RDV physique 5 mars : prospect gère fonds 10M€, focus early stage, Inde/Moyen-Orient, 2 deals deeptech (ADEX, EXODIGO). Intérêt pour GEODESIC, souhaite voir start-up en levée dans la zone Inde. Prochaine étape : présenter dossiers pertinents, relance à prévoir, non prioritaire.&lt;/p&gt;</t>
  </si>
  <si>
    <t>GEODESIC &lt;&gt; à regarder + presenter les start up en levées et présente dans la zone dont Inde, relancer (non prioritaire)</t>
  </si>
  <si>
    <t>Belles Rives CGP</t>
  </si>
  <si>
    <t>Franck Girard</t>
  </si>
  <si>
    <t>&lt;p&gt;Piste créée pour équipe Ventes. Call le 26/02/2026 pour signature convention distribution fonds. En attente KYC distributeur. Enrichissement lead impossible (email non valide). Prochaine étape : réception KYC pour avancer sur la distribution des fonds. Aucune autre activité récente.&lt;/p&gt;</t>
  </si>
  <si>
    <t>FAMILY PARTNERS</t>
  </si>
  <si>
    <t>Stéphane Rogron</t>
  </si>
  <si>
    <t>&lt;p&gt;Appel le 18/02, message laissé pour prise de nouvelles et proposition de RDV avec équipe sélection investissements. Création piste notée le 12/01. Pas de retour ni d'autres actions récentes. Prochaine étape : obtenir un RDV. Pas de feedback prospect sur fonds présentés à ce stade.&lt;/p&gt;</t>
  </si>
  <si>
    <t>Dasteria family office Julien Dassault</t>
  </si>
  <si>
    <t>Alexandre Halpern</t>
  </si>
  <si>
    <t>&lt;p&gt;Famille Dassault via Alexandre Hapern étudie investissement 1-3M€ dans le spatial, décision attendue mi-mars. Plusieurs échanges, relances et appels, dernier message laissé pour connaître l’avancement et perspectives Audacia. Prochaine étape : échange à prévoir, suivi actif en cours.&lt;/p&gt;</t>
  </si>
  <si>
    <t>Echange à prévoir</t>
  </si>
  <si>
    <t>Boursorama Gestion Privée</t>
  </si>
  <si>
    <t>Jean Bay</t>
  </si>
  <si>
    <t>&lt;p&gt;05/02/2026: Intérêt prospect pour solutions diversification, peu de dossiers remploi, prise de contact à organiser avec Charles. Lead créé pour équipe Ventes. Enrichissement lead impossible (email invalide). Prochaine étape&amp;nbsp;: fixer rendez-vous avec Charles. Pas d'autres actions récentes.&lt;/p&gt;</t>
  </si>
  <si>
    <t>RCS SAS Famille Derville</t>
  </si>
  <si>
    <t>Famille Derville</t>
  </si>
  <si>
    <t>&lt;p&gt;Déjeuner Bourrienne CB, OPNF, RSC SAS avec Famille Derville. Mail de remerciement envoyé. Préparation dossier Straton et Spatial, prospects très intéressés. Participants : Charles, Olivier. Prochaine étape : finaliser dossier pour Straton et Spatial. Pas d'autres actions prévues à ce jour.&lt;/p&gt;</t>
  </si>
  <si>
    <t>Déjeuner Bourrienne CB, OPNF, RSC SAS avec la Famille Derville</t>
  </si>
  <si>
    <t>Société de gestion</t>
  </si>
  <si>
    <t>LMCAPITAL</t>
  </si>
  <si>
    <t>Guillaume LAKAH</t>
  </si>
  <si>
    <t>&lt;p&gt;RDV physique 20/02 : LMCapital, ambiance familiale, relation client non confiée à Paul-Louis, expansion freinée par familles, focus clients externes, Lausanne/Genève. PL Vautrot quitte LMCapital, à relancer après son mariage/nouveau job fin mai. Prochain RDV prévu 17/04.&lt;/p&gt;</t>
  </si>
  <si>
    <t>rdv le 17 avril avec Guillaume Lakha, rdv fait &lt;&gt; avec PL Vautrot à relancer</t>
  </si>
  <si>
    <t>Cabinet d'avocats</t>
  </si>
  <si>
    <t>ARKWOOD</t>
  </si>
  <si>
    <t>Xavier GUERIN</t>
  </si>
  <si>
    <t>&lt;p&gt;25/02/2026 : relance Arkwood Avocats pour dossier remploi, contact tél pris. 28/01 : présentation fonds Audacia, prospect intéressé mais occupé par études d'expatriation, enverra dossiers plus tard. 06/03 : relance, prospect toujours très occupé. Prochaine étape : prise de news.&lt;/p&gt;</t>
  </si>
  <si>
    <t>prise de news</t>
  </si>
  <si>
    <t>Corporate</t>
  </si>
  <si>
    <t>Safra</t>
  </si>
  <si>
    <t>Hugo Belliard</t>
  </si>
  <si>
    <t>&lt;p&gt;03/02/2026: Point offre remploi. Prévu: petit-déjeuner fonds remploi/deeptech. Tentative d'enrichissement lead échouée (email invalide). Nouvelle piste créée pour équipe Ventes. Prochaine étape: organiser petit-déjeuner thématique. Pas de retour prospect sur fonds à ce stade.&lt;/p&gt;</t>
  </si>
  <si>
    <t>Jean Jacques Augagnieur</t>
  </si>
  <si>
    <t>&lt;p&gt;RDV physique réalisé pour fonds XXXX avec prospect, échanges synthétisés mais détails non précisés. Prochaines étapes mentionnées mais non détaillées. Aucune activité récente, pas de retour explicite du prospect sur les fonds. Nouvelle piste créée pour équipe Ventes. Pas d'autres actions récentes.&lt;/p&gt;</t>
  </si>
  <si>
    <t>CHEVAL BLANC PATRIMOINE</t>
  </si>
  <si>
    <t>Nam Delpierre</t>
  </si>
  <si>
    <t>&lt;p&gt;25/02/26 café avec Directeur Cheval Blanc Patrimoine CGP Paris 16, présentation offre globale. Pas d'intérêt immédiat, préfère fonds de dette privés, réticent sur fonds fiscaux (mauvaise réputation). 28/01/26 call vœux, perspectives clients, info collecte FCPI Wind. Pas d'action future prévue.&lt;/p&gt;</t>
  </si>
  <si>
    <t>MEESCHAERT GESTION PRIVEE</t>
  </si>
  <si>
    <t>Nicolas Andrieu</t>
  </si>
  <si>
    <t>&lt;p&gt;Piste créée équipe Ventes. Enrichissement lead impossible (email invalide). Action prévue&amp;nbsp;: organiser petit déjeuner avec clients. Pas d'autres activités ni retours prospects sur fonds. Prochaine étape&amp;nbsp;: planification petit déjeuner. Aucun passage en comité mentionné.&lt;/p&gt;</t>
  </si>
  <si>
    <t>ALPHIDES CONSEIL</t>
  </si>
  <si>
    <t>Fabien Guedes</t>
  </si>
  <si>
    <t>&lt;p&gt;Point fonds deeptech et remploi clients évoqué 28/01. Tentative enrichissement lead échouée (email invalide). Nouvelle piste créée équipe Ventes. Pas d'activité ou d'échange prospect/équipe détecté depuis, ni prochaines étapes identifiées.&lt;/p&gt;</t>
  </si>
  <si>
    <t>JEFFERIES FINANCES EUROPE, S.L.P.</t>
  </si>
  <si>
    <t>Jerome Delahaye</t>
  </si>
  <si>
    <t>&lt;p&gt;RDV de prep conf du 9/04 réalisé. Envoi 5-6 portefeuilles à Jefferies pour témoignages event Growth. Ventures suggérés : Latitude, Univity, ReOrbit, Atmos, Alta Ares, Dcubed. Témoignage Charles/Ted prévu à Londres, focus levées UK. Prochaine étape : deadline activité 29/04.&lt;/p&gt;</t>
  </si>
  <si>
    <t>envoi des 5 ou 6 ptf Cie à Jefferies afin de les faire témoigner à l'event (plutöt Growth), jefferies &lt;&gt; Convention Spatial LP UK /</t>
  </si>
  <si>
    <t>SOFIDY GESTION PRIVEE</t>
  </si>
  <si>
    <t>David Guillemet</t>
  </si>
  <si>
    <t>&lt;p&gt;Piste créée pour équipe Ventes. Appel du 06/03&amp;nbsp;: prospect a des besoins sur 150-0 B ter, RDV tel sur offre actuelle, retour attendu si intérêt clients. Relance mail 30/03 pour prise d'intérêt sur client en remploi. Prochaine étape&amp;nbsp;: attente retour prospect.&lt;/p&gt;</t>
  </si>
  <si>
    <t>Societe Generale Private Banking</t>
  </si>
  <si>
    <t>Julie Nadal</t>
  </si>
  <si>
    <t>&lt;p&gt;Projet référencement fonds, passage en comité initialement prévu, reporté à mi-février. Lead créé pour équipe Ventes. Tentative d'enrichissement échouée (email invalide). Prochaine étape&amp;nbsp;: attendre retour du comité mi-février pour décision sur référencement des fonds.&lt;/p&gt;</t>
  </si>
  <si>
    <t>My Way MFO</t>
  </si>
  <si>
    <t>Olivier Bontoux</t>
  </si>
  <si>
    <t>&lt;p&gt;Relance téléphonique 30/03/2026 pour présenter Straton et Géodesic. Précédemment, demande d’un point sur offre remploi Audacia. Création piste pour équipe Ventes. Pas de retour sur fonds présentés ni avis prospect. Prochaine étape&amp;nbsp;: suivi téléphonique, pas d’autres actions planifiées à ce jour.&lt;/p&gt;</t>
  </si>
  <si>
    <t>Bred Banque Privée</t>
  </si>
  <si>
    <t>Caroline Thiebaud</t>
  </si>
  <si>
    <t>&lt;p&gt;Nouvelle piste créée pour équipe Ventes. Tentative d'enrichissement échouée (email non valide). Discussion reprise sur fonds Audacia, pas de retour prospect ni action complémentaire mentionnée. Aucune activité ou prochaine étape planifiée identifiée à ce jour.&lt;/p&gt;</t>
  </si>
  <si>
    <t>PROGRESSYS CAPITAL</t>
  </si>
  <si>
    <t>Stephane Matton</t>
  </si>
  <si>
    <t>&lt;p&gt;Nouvelle piste créée pour équipe Ventes. Aucun échange, activité ou action de suivi enregistrée à ce jour sur ce prospect. Pas d'informations complémentaires, pas de retour ni de prochaine étape identifiée. Suivi à initier.&lt;/p&gt;</t>
  </si>
  <si>
    <t>Emmanuel de Rohan Chabot</t>
  </si>
  <si>
    <t>&lt;p&gt;RDV physique réalisé, nouveau RDV en cours de calage avec prospect. Relance effectuée auprès de r.weiss@titrisation.com le 20/03/2026. Pas de retour sur l'intérêt pour les fonds à ce stade, prochaines étapes : fixer le prochain RDV et attendre retour du prospect.&lt;/p&gt;</t>
  </si>
  <si>
    <t>relance faite auprès de &lt;r.weiss@titrisation.com&gt;</t>
  </si>
  <si>
    <t>Troismer</t>
  </si>
  <si>
    <t>Thibaut BUSSCHAERT</t>
  </si>
  <si>
    <t>&lt;p&gt;12/12/25 RDV FO: 70 lignes fonds, 15 Europe, secondaire actif, 16M€, 100% déployé, horizon 3-5 ans, LP lead prudent, GP lead single asset, discussions sur nouveau fonds 1,5M€, Rdv janvier prévu. Prochaine étape : prendre rdv pour update secondary. Pas d'autres actus récentes.&lt;/p&gt;</t>
  </si>
  <si>
    <t>Prendre rdv pour une revue secondary à jour</t>
  </si>
  <si>
    <t>Arnaud DASSIER</t>
  </si>
  <si>
    <t>&lt;p&gt;Mail suite exit société, cash à investir, proposition RDV Bourrienne. RDV physique réalisé, échanges sur fonds, prochaines étapes évoquées. Appel passé, feedback prospect : pas d'intérêt pour Audacia. Pas d'autres actions prévues à ce stade, attente éventuel retour prospect.&lt;/p&gt;</t>
  </si>
  <si>
    <t>Mort / Plus rien à faire</t>
  </si>
</sst>
</file>

<file path=xl/styles.xml><?xml version="1.0" encoding="utf-8"?>
<styleSheet xmlns="http://schemas.openxmlformats.org/spreadsheetml/2006/main" xmlns:r="http://schemas.openxmlformats.org/officeDocument/2006/relationships">
  <numFmts count="2">
    <numFmt numFmtId="164" formatCode="dd/mm/yyyy"/>
    <numFmt numFmtId="165" formatCode="#,##0[$€]"/>
  </numFmts>
  <fonts count="3">
    <font>
      <sz val="10"/>
      <color rgb="000000"/>
      <name val="Arial"/>
    </font>
    <font>
      <sz val="30"/>
      <color rgb="FFFFFF"/>
      <name val="Arial"/>
    </font>
    <font>
      <sz val="10"/>
      <color rgb="351C75"/>
      <name val="Arial"/>
    </font>
  </fonts>
  <fills count="5">
    <fill>
      <patternFill patternType="none"/>
    </fill>
    <fill>
      <patternFill patternType="gray125"/>
    </fill>
    <fill>
      <patternFill patternType="solid">
        <fgColor rgb="351C75"/>
        <bgColor indexed="64"/>
      </patternFill>
    </fill>
    <fill>
      <patternFill patternType="solid">
        <fgColor rgb="FFFFFF"/>
        <bgColor indexed="64"/>
      </patternFill>
    </fill>
    <fill>
      <patternFill patternType="solid">
        <fgColor rgb="FF9900"/>
        <bgColor indexed="64"/>
      </patternFill>
    </fill>
  </fills>
  <borders count="1">
    <border>
      <left>
        </left>
      <right>
        </right>
      <top>
        </top>
      <bottom>
        </bottom>
      <diagonal>
        </diagonal>
    </border>
  </borders>
  <cellXfs count="22">
    <xf numFmtId="0" fillId="0" fontId="0" borderId="0"/>
    <xf numFmtId="0" fillId="2" fontId="0" borderId="0" applyAlignment="1">
      <alignment vertical="center" horizontal="center" wrapText="1"/>
    </xf>
    <xf numFmtId="0" fillId="2" fontId="0" borderId="0" applyAlignment="1">
      <alignment vertical="center" horizontal="center"/>
    </xf>
    <xf numFmtId="0" fillId="2" fontId="1" borderId="0" applyAlignment="1">
      <alignment vertical="center" wrapText="1"/>
    </xf>
    <xf numFmtId="0" fillId="0" fontId="0" borderId="0" applyAlignment="1">
      <alignment wrapText="1"/>
    </xf>
    <xf numFmtId="0" fillId="0" fontId="0" borderId="0" applyAlignment="1">
      <alignment vertical="center" horizontal="center" wrapText="1"/>
    </xf>
    <xf numFmtId="0" fillId="0" fontId="0" borderId="0" applyAlignment="1">
      <alignment vertical="center" horizontal="center"/>
    </xf>
    <xf numFmtId="0" fillId="3" fontId="2" borderId="0" applyAlignment="1">
      <alignment vertical="center" horizontal="center" wrapText="1"/>
    </xf>
    <xf numFmtId="0" fillId="4" fontId="0" borderId="0" applyAlignment="1">
      <alignment vertical="center" horizontal="center" wrapText="1"/>
    </xf>
    <xf numFmtId="0" fillId="0" fontId="2" borderId="0" applyAlignment="1">
      <alignment vertical="center" horizontal="center" wrapText="1"/>
    </xf>
    <xf numFmtId="49" fillId="0" fontId="2" borderId="0" applyAlignment="1">
      <alignment vertical="center" wrapText="1"/>
    </xf>
    <xf numFmtId="49" fillId="0" fontId="2" borderId="0" applyAlignment="1">
      <alignment vertical="center" horizontal="center" wrapText="1"/>
    </xf>
    <xf numFmtId="0" fillId="0" fontId="2" borderId="0" applyAlignment="1">
      <alignment vertical="center" wrapText="1"/>
    </xf>
    <xf numFmtId="0" fillId="0" fontId="2" borderId="0"/>
    <xf numFmtId="164" fillId="0" fontId="2" borderId="0" applyAlignment="1">
      <alignment vertical="center" horizontal="center" wrapText="1"/>
    </xf>
    <xf numFmtId="165" fillId="0" fontId="2" borderId="0" applyAlignment="1">
      <alignment vertical="center" horizontal="center" wrapText="1"/>
    </xf>
    <xf numFmtId="4" fillId="0" fontId="2" borderId="0" applyAlignment="1">
      <alignment vertical="center" horizontal="center" wrapText="1"/>
    </xf>
    <xf numFmtId="0" fillId="0" fontId="2" borderId="0" applyAlignment="1">
      <alignment wrapText="1"/>
    </xf>
    <xf numFmtId="49" fillId="0" fontId="2" borderId="0"/>
    <xf numFmtId="164" fillId="0" fontId="2" borderId="0"/>
    <xf numFmtId="165" fillId="0" fontId="2" borderId="0"/>
    <xf numFmtId="4" fillId="0" fontId="2" borderId="0"/>
  </cellXfs>
  <dxfs count="2">
    <dxf>
      <fill>
        <patternFill>
          <bgColor rgb="B6D7A8"/>
        </patternFill>
      </fill>
    </dxf>
    <dxf>
      <fill>
        <patternFill>
          <bgColor rgb="D9EAD3"/>
        </patternFill>
      </fill>
    </dxf>
  </dxfs>
</styleSheet>
</file>

<file path=xl/_rels/workbook.xml.rels><Relationships xmlns="http://schemas.openxmlformats.org/package/2006/relationships">
        
        <Relationship Id="rId1" Target="worksheets/sheet0.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metadata.xml" Type="http://schemas.openxmlformats.org/officeDocument/2006/relationships/sheetMetadata"/>
      
      </Relationships>
</file>

<file path=xl/tables/table1.xml><?xml version="1.0" encoding="utf-8"?>
<table xmlns="http://schemas.openxmlformats.org/spreadsheetml/2006/main" xmlns:xr="http://schemas.microsoft.com/office/spreadsheetml/2014/revision" xmlns:xr3="http://schemas.microsoft.com/office/spreadsheetml/2016/revision3" xmlns:mc="http://schemas.openxmlformats.org/markup-compatibility/2006" id="1" name="Table1" displayName="Table1" ref="A3:V202" headerRowCount="1" totalsRowCount="0">
  <autoFilter ref="A3:V202">
  </autoFilter>
  <tableColumns count="22">
    <tableColumn id="1" name="Fonds"/>
    <tableColumn id="2" name="Typologie"/>
    <tableColumn id="3" name="Entité"/>
    <tableColumn id="4" name="Contact"/>
    <tableColumn id="5" name="Contact Levée"/>
    <tableColumn id="6" name="Commentaire"/>
    <tableColumn id="7" name="Commentaire2"/>
    <tableColumn id="8" name="Commentaire3"/>
    <tableColumn id="9" name="Commentaire4"/>
    <tableColumn id="10" name="Activités"/>
    <tableColumn id="11" name="Étape"/>
    <tableColumn id="12" name="Intérêt"/>
    <tableColumn id="13" name="Date de dernière activité"/>
    <tableColumn id="14" name="Dernière activité"/>
    <tableColumn id="15" name="Date de prochaine activité"/>
    <tableColumn id="16" name="Prochaine activité"/>
    <tableColumn id="17" name="Revenu attendu"/>
    <tableColumn id="18" name="Ticket"/>
    <tableColumn id="19" name="% de Maturation"/>
    <tableColumn id="20" name="Matu."/>
    <tableColumn id="21" name="Tri"/>
    <tableColumn id="22" name="compteur"/>
  </tableColumns>
  <tableStyleInfo name="TableStyleLight9" showFirstColumn="0" showLastColumn="0" showRowStripes="1" showColumnStripes="0"/>
</table>
</file>

<file path=xl/worksheets/_rels/sheet0.xml.rels><Relationships xmlns="http://schemas.openxmlformats.org/package/2006/relationships">
        
        <Relationship Id="rId1" Target="../tables/table1.xml" Type="http://schemas.openxmlformats.org/officeDocument/2006/relationships/table"/>
      
      </Relationships>
</file>

<file path=xl/worksheets/sheet0.xml><?xml version="1.0" encoding="utf-8"?>
<worksheet xmlns="http://schemas.openxmlformats.org/spreadsheetml/2006/main" xmlns:r="http://schemas.openxmlformats.org/officeDocument/2006/relationships">
  <sheetViews>
    <sheetView showGridLines="1" workbookViewId="0">
      <pane ySplit="3" topLeftCell="A4" activePane="bottomLeft" state="frozen"/>
      <selection pane="bottomLeft"/>
    </sheetView>
  </sheetViews>
  <sheetFormatPr defaultRowHeight="17.25" defaultColWidth="13.73"/>
  <cols>
    <col min="1" max="1" width="29.46" customWidth="1" hidden="0"/>
    <col min="2" max="2" width="21.16" customWidth="1" hidden="0"/>
    <col min="3" max="3" width="29.03" customWidth="1" hidden="0"/>
    <col min="4" max="4" width="22.59" customWidth="1" hidden="0"/>
    <col min="5" max="5" width="15.73" customWidth="1" hidden="0"/>
    <col min="6" max="6" width="49.91" customWidth="1" hidden="1"/>
    <col min="7" max="7" width="49.91" customWidth="1" hidden="1"/>
    <col min="8" max="8" width="49.91" customWidth="1" hidden="1"/>
    <col min="9" max="9" width="54.05" customWidth="1" hidden="0"/>
    <col min="10" max="10" width="66.21" customWidth="1" hidden="1"/>
    <col min="11" max="11" width="23.6" customWidth="1" hidden="1"/>
    <col min="12" max="12" width="11.44" customWidth="1" hidden="0"/>
    <col min="13" max="13" width="21.59" customWidth="1" hidden="1"/>
    <col min="14" max="14" width="13.73" customWidth="1" hidden="0"/>
    <col min="15" max="15" width="25.31" customWidth="1" hidden="1"/>
    <col min="16" max="16" width="19.45" customWidth="1" hidden="0"/>
    <col min="17" max="17" width="15.16" customWidth="1" hidden="1"/>
    <col min="18" max="18" width="13.59" customWidth="1" hidden="0"/>
    <col min="19" max="19" width="30.03" customWidth="1" hidden="1"/>
    <col min="20" max="20" width="17.02" customWidth="1" hidden="0"/>
    <col min="21" max="21" width="16.16" customWidth="1" hidden="0"/>
    <col min="22" max="22" width="13.73" customWidth="1" hidden="1"/>
    <col min="23" max="23" width="13.73" customWidth="1" hidden="0"/>
    <col min="24" max="24" width="13.73" customWidth="1" hidden="0"/>
    <col min="25" max="25" width="13.73" customWidth="1" hidden="0"/>
    <col min="26" max="26" width="13.73" customWidth="1" hidden="0"/>
    <col min="27" max="27" width="13.73" customWidth="1" hidden="0"/>
    <col min="28" max="28" width="13.73" customWidth="1" hidden="0"/>
    <col min="29" max="29" width="13.73" customWidth="1" hidden="0"/>
    <col min="30" max="30" width="13.73" customWidth="1" hidden="0"/>
    <col min="31" max="31" width="13.73" customWidth="1" hidden="0"/>
    <col min="32" max="32" width="13.73" customWidth="1" hidden="0"/>
    <col min="33" max="33" width="13.73" customWidth="1" hidden="0"/>
    <col min="34" max="34" width="13.73" customWidth="1" hidden="0"/>
    <col min="35" max="35" width="13.73" customWidth="1" hidden="0"/>
    <col min="36" max="36" width="13.73" customWidth="1" hidden="0"/>
  </cols>
  <sheetData>
    <row r="1" ht="30" customHeight="1">
      <c r="A1" s="1">
</c>
      <c r="B1" s="2">
</c>
      <c r="C1" s="2">
</c>
      <c r="D1" s="1">
</c>
      <c r="E1" s="2">
</c>
      <c r="F1" s="2">
</c>
      <c r="G1" s="1">
</c>
      <c r="H1" s="2">
</c>
      <c r="I1" s="3" t="s">
        <v>0</v>
      </c>
      <c r="J1" s="2">
</c>
      <c r="K1" s="2">
</c>
      <c r="L1" s="2">
</c>
      <c r="M1" s="2">
</c>
      <c r="N1" s="3">
</c>
      <c r="O1" s="2">
</c>
      <c r="P1" s="1">
</c>
      <c r="Q1" s="2">
</c>
      <c r="R1" s="2">
</c>
      <c r="S1" s="2">
</c>
      <c r="T1" s="2">
</c>
      <c r="U1" s="1">
</c>
    </row>
    <row r="2" ht="30" customHeight="1">
      <c r="A2" s="4">
</c>
      <c r="B2" s="5">
</c>
      <c r="C2" s="6" cm="1" t="n">
        <f t="array" ref="C2">SUBTOTAL(9,V4:V202)</f>
        <v>56</v>
      </c>
      <c r="Q2" s="7" cm="1" t="n">
        <f t="array" ref="Q2">SUBTOTAL(9,Q4:Q302)</f>
        <v>7100000</v>
      </c>
      <c r="R2" s="7" cm="1" t="str">
        <f t="array" ref="R2">ROUND(Q2/1000000,3)&amp;" M€"</f>
        <v>7.1 M€</v>
      </c>
    </row>
    <row r="3" ht="38.25" customHeight="1">
      <c r="A3" s="1" t="s">
        <v>1</v>
      </c>
      <c r="B3" s="1" t="s">
        <v>2</v>
      </c>
      <c r="C3" s="1" t="s">
        <v>3</v>
      </c>
      <c r="D3" s="1" t="s">
        <v>4</v>
      </c>
      <c r="E3" s="1" t="s">
        <v>5</v>
      </c>
      <c r="F3" s="1" t="s">
        <v>6</v>
      </c>
      <c r="G3" s="1" t="s">
        <v>7</v>
      </c>
      <c r="H3" s="1" t="s">
        <v>8</v>
      </c>
      <c r="I3" s="1" t="s">
        <v>9</v>
      </c>
      <c r="J3" s="1" t="s">
        <v>10</v>
      </c>
      <c r="K3" s="1" t="s">
        <v>11</v>
      </c>
      <c r="L3" s="1" t="s">
        <v>12</v>
      </c>
      <c r="M3" s="8" t="s">
        <v>13</v>
      </c>
      <c r="N3" s="1" t="s">
        <v>14</v>
      </c>
      <c r="O3" s="1" t="s">
        <v>15</v>
      </c>
      <c r="P3" s="1" t="s">
        <v>16</v>
      </c>
      <c r="Q3" s="1" t="s">
        <v>17</v>
      </c>
      <c r="R3" s="1" t="s">
        <v>18</v>
      </c>
      <c r="S3" s="1" t="s">
        <v>19</v>
      </c>
      <c r="T3" s="1" t="s">
        <v>20</v>
      </c>
      <c r="U3" s="1" t="s">
        <v>21</v>
      </c>
      <c r="V3" t="s">
        <v>22</v>
      </c>
    </row>
    <row r="4" ht="78.75" customHeight="1">
      <c r="A4" s="9" t="s">
        <v>23</v>
      </c>
      <c r="B4" s="9" t="s">
        <v>24</v>
      </c>
      <c r="C4" s="10" t="s">
        <v>25</v>
      </c>
      <c r="D4" s="11" t="s">
        <v>25</v>
      </c>
      <c r="E4" s="9" t="s">
        <v>26</v>
      </c>
      <c r="F4" s="12" t="s">
        <v>27</v>
      </c>
      <c r="G4" s="12" cm="1" t="str">
        <f t="array" ref="G4">IF(F4="","",SUBSTITUTE(SUBSTITUTE(SUBSTITUTE(SUBSTITUTE(F4,"&lt;li&gt;",CHAR(10)),"&lt;/li&gt;",""),"&lt;br&gt;",CHAR(10)),"&lt;strong&gt;",""))</f>
        <v>&lt;p&gt;Piste créée pour équipe Ventes, tentative d'enrichissement échouée (email invalide), aucune activité ou échange significatif enregistré depuis. Opportunité finalisée en octobre 2025, pas d'action ou de suivi récent, aucune prochaine étape identifiée à ce jour.&lt;/p&gt;</v>
      </c>
      <c r="H4" s="12" cm="1" t="str">
        <f t="array" ref="H4">IF(G4="","",SUBSTITUTE(SUBSTITUTE(SUBSTITUTE(SUBSTITUTE(SUBSTITUTE(G4,"&lt;p&gt;",""),"&lt;/p&gt;",""),"&lt;ul&gt;",""),"&lt;/ul&gt;",""),"&lt;/strong&gt;",""))</f>
        <v>Piste créée pour équipe Ventes, tentative d'enrichissement échouée (email invalide), aucune activité ou échange significatif enregistré depuis. Opportunité finalisée en octobre 2025, pas d'action ou de suivi récent, aucune prochaine étape identifiée à ce jour.</v>
      </c>
      <c r="I4" s="12" cm="1" t="str">
        <f t="array" ref="I4">IF(C4="","",IF(OR(H4="",H4=0,H4=FALSE),"-",H4))</f>
        <v>Piste créée pour équipe Ventes, tentative d'enrichissement échouée (email invalide), aucune activité ou échange significatif enregistré depuis. Opportunité finalisée en octobre 2025, pas d'action ou de suivi récent, aucune prochaine étape identifiée à ce jour.</v>
      </c>
      <c r="J4" s="13">
</c>
      <c r="K4" s="9" t="s">
        <v>28</v>
      </c>
      <c r="L4" s="9" cm="1" t="str">
        <f t="array" ref="L4">IF(C4="","",IF(K4="Mort / Plus rien à faire","KO","OK"))</f>
        <v>OK</v>
      </c>
      <c r="M4" s="14">
        <v>46022.6159375</v>
      </c>
      <c r="N4" s="14" cm="1" t="n">
        <f t="array" ref="N4">IF(OR(C4="",M4="",M4=0),"",M4)</f>
        <v>46022.6159375</v>
      </c>
      <c r="O4" s="14">
</c>
      <c r="P4" s="14" cm="1" t="str">
        <f t="array" ref="P4">IF(C4="","",IF(OR(O4="",O4=0),"-",O4))</f>
        <v>-</v>
      </c>
      <c r="Q4" s="15">
        <v>300000</v>
      </c>
      <c r="R4" s="9" cm="1" t="str">
        <f t="array" ref="R4">IF(C4="","",ROUND(Q4/1000000,3)&amp;" M€")</f>
        <v>0.3 M€</v>
      </c>
      <c r="S4" s="16">
        <v>100</v>
      </c>
      <c r="T4" s="9" cm="1" t="str">
        <f t="array" ref="T4">IF(C4="","",SUBSTITUTE(S4,"","")&amp;"%")</f>
        <v>100%</v>
      </c>
      <c r="U4" s="12" cm="1" t="str">
        <f t="array" ref="U4">IF(($N4="")*($P4=""),"",IF(($N4&lt;&gt;"")*($N4&gt;TODAY()-9)*($N4&lt;TODAY()+1)*($P4&lt;&gt;"")*($P4&gt;=TODAY())*($P4&lt;=TODAY()+13),"Semaine passée &amp; à venir",IF(($N4&lt;&gt;"")*($N4&gt;TODAY()-9)*($N4&lt;TODAY()+1),"Semaine passée",IF(($P4&lt;&gt;"")*($P4&gt;=TODAY())*($P4&lt;=TODAY()+13),"À venir","Autre"))))</f>
        <v>Autre</v>
      </c>
      <c r="V4" cm="1" t="n">
        <f t="array" ref="V4">IF(C4&lt;&gt;"",1,0)</f>
        <v>1</v>
      </c>
    </row>
    <row r="5" ht="78.75" customHeight="1">
      <c r="A5" s="9" t="s">
        <v>23</v>
      </c>
      <c r="B5" s="9" t="s">
        <v>29</v>
      </c>
      <c r="C5" s="10" t="s">
        <v>30</v>
      </c>
      <c r="D5" s="11" t="s">
        <v>31</v>
      </c>
      <c r="E5" s="9" t="s">
        <v>26</v>
      </c>
      <c r="F5" s="13" t="s">
        <v>32</v>
      </c>
      <c r="G5" s="12" cm="1" t="str">
        <f t="array" ref="G5">IF(F5="","",SUBSTITUTE(SUBSTITUTE(SUBSTITUTE(SUBSTITUTE(F5,"&lt;li&gt;",CHAR(10)),"&lt;/li&gt;",""),"&lt;br&gt;",CHAR(10)),"&lt;strong&gt;",""))</f>
        <v>&lt;p&gt;Nouvelle piste créée équipe Ventes. Tentative d'enrichissement lead échouée (email invalide). Ticket potentiel évoqué courant février pour 375k. Aucun retour prospect sur fonds présentés, pas d'activité récente, aucune action ou prochaine étape identifiée à ce jour.&lt;/p&gt;</v>
      </c>
      <c r="H5" s="12" cm="1" t="str">
        <f t="array" ref="H5">IF(G5="","",SUBSTITUTE(SUBSTITUTE(SUBSTITUTE(SUBSTITUTE(SUBSTITUTE(G5,"&lt;p&gt;",""),"&lt;/p&gt;",""),"&lt;ul&gt;",""),"&lt;/ul&gt;",""),"&lt;/strong&gt;",""))</f>
        <v>Nouvelle piste créée équipe Ventes. Tentative d'enrichissement lead échouée (email invalide). Ticket potentiel évoqué courant février pour 375k. Aucun retour prospect sur fonds présentés, pas d'activité récente, aucune action ou prochaine étape identifiée à ce jour.</v>
      </c>
      <c r="I5" s="12" cm="1" t="str">
        <f t="array" ref="I5">IF(C5="","",IF(OR(H5="",H5=0,H5=FALSE),"-",H5))</f>
        <v>Nouvelle piste créée équipe Ventes. Tentative d'enrichissement lead échouée (email invalide). Ticket potentiel évoqué courant février pour 375k. Aucun retour prospect sur fonds présentés, pas d'activité récente, aucune action ou prochaine étape identifiée à ce jour.</v>
      </c>
      <c r="J5" s="13">
</c>
      <c r="K5" s="9" t="s">
        <v>28</v>
      </c>
      <c r="L5" s="9" cm="1" t="str">
        <f t="array" ref="L5">IF(C5="","",IF(K5="Mort / Plus rien à faire","KO","OK"))</f>
        <v>OK</v>
      </c>
      <c r="M5" s="14">
        <v>46081.44582175926</v>
      </c>
      <c r="N5" s="14" cm="1" t="n">
        <f t="array" ref="N5">IF(OR(C5="",M5="",M5=0),"",M5)</f>
        <v>46081.44582175926</v>
      </c>
      <c r="O5" s="14">
</c>
      <c r="P5" s="14" cm="1" t="str">
        <f t="array" ref="P5">IF(C5="","",IF(OR(O5="",O5=0),"-",O5))</f>
        <v>-</v>
      </c>
      <c r="Q5" s="15">
        <v>100000</v>
      </c>
      <c r="R5" s="9" cm="1" t="str">
        <f t="array" ref="R5">IF(C5="","",ROUND(Q5/1000000,3)&amp;" M€")</f>
        <v>0.1 M€</v>
      </c>
      <c r="S5" s="16">
        <v>100</v>
      </c>
      <c r="T5" s="9" cm="1" t="str">
        <f t="array" ref="T5">IF(C5="","",SUBSTITUTE(S5,"","")&amp;"%")</f>
        <v>100%</v>
      </c>
      <c r="U5" s="12" cm="1" t="str">
        <f t="array" ref="U5">IF(($N5="")*($P5=""),"",IF(($N5&lt;&gt;"")*($N5&gt;TODAY()-9)*($N5&lt;TODAY()+1)*($P5&lt;&gt;"")*($P5&gt;=TODAY())*($P5&lt;=TODAY()+13),"Semaine passée &amp; à venir",IF(($N5&lt;&gt;"")*($N5&gt;TODAY()-9)*($N5&lt;TODAY()+1),"Semaine passée",IF(($P5&lt;&gt;"")*($P5&gt;=TODAY())*($P5&lt;=TODAY()+13),"À venir","Autre"))))</f>
        <v>Autre</v>
      </c>
      <c r="V5" cm="1" t="n">
        <f t="array" ref="V5">IF(C5&lt;&gt;"",1,0)</f>
        <v>1</v>
      </c>
      <c r="X5" s="12">
</c>
    </row>
    <row r="6" ht="78.75" customHeight="1">
      <c r="A6" s="9" t="s">
        <v>23</v>
      </c>
      <c r="B6" s="9" t="s">
        <v>24</v>
      </c>
      <c r="C6" s="10" t="s">
        <v>33</v>
      </c>
      <c r="D6" s="11" t="s">
        <v>33</v>
      </c>
      <c r="E6" s="9" t="s">
        <v>26</v>
      </c>
      <c r="F6" s="13" t="s">
        <v>34</v>
      </c>
      <c r="G6" s="12" cm="1" t="str">
        <f t="array" ref="G6">IF(F6="","",SUBSTITUTE(SUBSTITUTE(SUBSTITUTE(SUBSTITUTE(F6,"&lt;li&gt;",CHAR(10)),"&lt;/li&gt;",""),"&lt;br&gt;",CHAR(10)),"&lt;strong&gt;",""))</f>
        <v>&lt;p&gt;Contact CB établi. 28/02/2026 : nouveau 100K engagé dans Géodesic, attente signature BS et virement avant 09/03/2026, date de fin AK privés Géodesic. Suivi en attente, aucune activité complémentaire ni retour prospect sur fonds présentés. Lead créé pour équipe Ventes.&lt;/p&gt;</v>
      </c>
      <c r="H6" s="12" cm="1" t="str">
        <f t="array" ref="H6">IF(G6="","",SUBSTITUTE(SUBSTITUTE(SUBSTITUTE(SUBSTITUTE(SUBSTITUTE(G6,"&lt;p&gt;",""),"&lt;/p&gt;",""),"&lt;ul&gt;",""),"&lt;/ul&gt;",""),"&lt;/strong&gt;",""))</f>
        <v>Contact CB établi. 28/02/2026 : nouveau 100K engagé dans Géodesic, attente signature BS et virement avant 09/03/2026, date de fin AK privés Géodesic. Suivi en attente, aucune activité complémentaire ni retour prospect sur fonds présentés. Lead créé pour équipe Ventes.</v>
      </c>
      <c r="I6" s="12" cm="1" t="str">
        <f t="array" ref="I6">IF(C6="","",IF(OR(H6="",H6=0,H6=FALSE),"-",H6))</f>
        <v>Contact CB établi. 28/02/2026 : nouveau 100K engagé dans Géodesic, attente signature BS et virement avant 09/03/2026, date de fin AK privés Géodesic. Suivi en attente, aucune activité complémentaire ni retour prospect sur fonds présentés. Lead créé pour équipe Ventes.</v>
      </c>
      <c r="J6" s="13">
</c>
      <c r="K6" s="9" t="s">
        <v>28</v>
      </c>
      <c r="L6" s="9" cm="1" t="str">
        <f t="array" ref="L6">IF(C6="","",IF(K6="Mort / Plus rien à faire","KO","OK"))</f>
        <v>OK</v>
      </c>
      <c r="M6" s="14">
        <v>46091.674675925926</v>
      </c>
      <c r="N6" s="14" cm="1" t="n">
        <f t="array" ref="N6">IF(OR(C6="",M6="",M6=0),"",M6)</f>
        <v>46091.674675925926</v>
      </c>
      <c r="O6" s="14">
</c>
      <c r="P6" s="14" cm="1" t="str">
        <f t="array" ref="P6">IF(C6="","",IF(OR(O6="",O6=0),"-",O6))</f>
        <v>-</v>
      </c>
      <c r="Q6" s="15">
        <v>100000</v>
      </c>
      <c r="R6" s="9" cm="1" t="str">
        <f t="array" ref="R6">IF(C6="","",ROUND(Q6/1000000,3)&amp;" M€")</f>
        <v>0.1 M€</v>
      </c>
      <c r="S6" s="16">
        <v>100</v>
      </c>
      <c r="T6" s="9" cm="1" t="str">
        <f t="array" ref="T6">IF(C6="","",SUBSTITUTE(S6,"","")&amp;"%")</f>
        <v>100%</v>
      </c>
      <c r="U6" s="12" cm="1" t="str">
        <f t="array" ref="U6">IF(($N6="")*($P6=""),"",IF(($N6&lt;&gt;"")*($N6&gt;TODAY()-9)*($N6&lt;TODAY()+1)*($P6&lt;&gt;"")*($P6&gt;=TODAY())*($P6&lt;=TODAY()+13),"Semaine passée &amp; à venir",IF(($N6&lt;&gt;"")*($N6&gt;TODAY()-9)*($N6&lt;TODAY()+1),"Semaine passée",IF(($P6&lt;&gt;"")*($P6&gt;=TODAY())*($P6&lt;=TODAY()+13),"À venir","Autre"))))</f>
        <v>Autre</v>
      </c>
      <c r="V6" cm="1" t="n">
        <f t="array" ref="V6">IF(C6&lt;&gt;"",1,0)</f>
        <v>1</v>
      </c>
    </row>
    <row r="7" ht="78.75" customHeight="1">
      <c r="A7" s="9" t="s">
        <v>23</v>
      </c>
      <c r="B7" s="9" t="s">
        <v>29</v>
      </c>
      <c r="C7" s="10" t="s">
        <v>30</v>
      </c>
      <c r="D7" s="11" t="s">
        <v>31</v>
      </c>
      <c r="E7" s="9" t="s">
        <v>26</v>
      </c>
      <c r="F7" s="13" t="s">
        <v>35</v>
      </c>
      <c r="G7" s="12" cm="1" t="str">
        <f t="array" ref="G7">IF(F7="","",SUBSTITUTE(SUBSTITUTE(SUBSTITUTE(SUBSTITUTE(F7,"&lt;li&gt;",CHAR(10)),"&lt;/li&gt;",""),"&lt;br&gt;",CHAR(10)),"&lt;strong&gt;",""))</f>
        <v>&lt;p&gt;Piste créée pour équipe Ventes, enrichissement impossible (email invalide), aucune activité ou échange prospect relevé, finalisée en février 2026. Aucune prochaine action prévue, pas de retour prospect ni de conclusion sur fonds présentés.&lt;/p&gt;</v>
      </c>
      <c r="H7" s="12" cm="1" t="str">
        <f t="array" ref="H7">IF(G7="","",SUBSTITUTE(SUBSTITUTE(SUBSTITUTE(SUBSTITUTE(SUBSTITUTE(G7,"&lt;p&gt;",""),"&lt;/p&gt;",""),"&lt;ul&gt;",""),"&lt;/ul&gt;",""),"&lt;/strong&gt;",""))</f>
        <v>Piste créée pour équipe Ventes, enrichissement impossible (email invalide), aucune activité ou échange prospect relevé, finalisée en février 2026. Aucune prochaine action prévue, pas de retour prospect ni de conclusion sur fonds présentés.</v>
      </c>
      <c r="I7" s="12" cm="1" t="str">
        <f t="array" ref="I7">IF(C7="","",IF(OR(H7="",H7=0,H7=FALSE),"-",H7))</f>
        <v>Piste créée pour équipe Ventes, enrichissement impossible (email invalide), aucune activité ou échange prospect relevé, finalisée en février 2026. Aucune prochaine action prévue, pas de retour prospect ni de conclusion sur fonds présentés.</v>
      </c>
      <c r="J7" s="13">
</c>
      <c r="K7" s="9" t="s">
        <v>28</v>
      </c>
      <c r="L7" s="9" cm="1" t="str">
        <f t="array" ref="L7">IF(C7="","",IF(K7="Mort / Plus rien à faire","KO","OK"))</f>
        <v>OK</v>
      </c>
      <c r="M7" s="14">
        <v>46056.6128125</v>
      </c>
      <c r="N7" s="14" cm="1" t="n">
        <f t="array" ref="N7">IF(OR(C7="",M7="",M7=0),"",M7)</f>
        <v>46056.6128125</v>
      </c>
      <c r="O7" s="14">
</c>
      <c r="P7" s="14" cm="1" t="str">
        <f t="array" ref="P7">IF(C7="","",IF(OR(O7="",O7=0),"-",O7))</f>
        <v>-</v>
      </c>
      <c r="Q7" s="15">
        <v>100000</v>
      </c>
      <c r="R7" s="9" cm="1" t="str">
        <f t="array" ref="R7">IF(C7="","",ROUND(Q7/1000000,3)&amp;" M€")</f>
        <v>0.1 M€</v>
      </c>
      <c r="S7" s="16">
        <v>100</v>
      </c>
      <c r="T7" s="9" cm="1" t="str">
        <f t="array" ref="T7">IF(C7="","",SUBSTITUTE(S7,"","")&amp;"%")</f>
        <v>100%</v>
      </c>
      <c r="U7" s="12" cm="1" t="str">
        <f t="array" ref="U7">IF(($N7="")*($P7=""),"",IF(($N7&lt;&gt;"")*($N7&gt;TODAY()-9)*($N7&lt;TODAY()+1)*($P7&lt;&gt;"")*($P7&gt;=TODAY())*($P7&lt;=TODAY()+13),"Semaine passée &amp; à venir",IF(($N7&lt;&gt;"")*($N7&gt;TODAY()-9)*($N7&lt;TODAY()+1),"Semaine passée",IF(($P7&lt;&gt;"")*($P7&gt;=TODAY())*($P7&lt;=TODAY()+13),"À venir","Autre"))))</f>
        <v>Autre</v>
      </c>
      <c r="V7" cm="1" t="n">
        <f t="array" ref="V7">IF(C7&lt;&gt;"",1,0)</f>
        <v>1</v>
      </c>
    </row>
    <row r="8" ht="78.75" customHeight="1">
      <c r="A8" s="9" t="s">
        <v>23</v>
      </c>
      <c r="B8" s="9" t="s">
        <v>24</v>
      </c>
      <c r="C8" s="10" t="s">
        <v>36</v>
      </c>
      <c r="D8" s="11" t="s">
        <v>36</v>
      </c>
      <c r="E8" s="9" t="s">
        <v>26</v>
      </c>
      <c r="F8" s="13" t="s">
        <v>37</v>
      </c>
      <c r="G8" s="12" cm="1" t="str">
        <f t="array" ref="G8">IF(F8="","",SUBSTITUTE(SUBSTITUTE(SUBSTITUTE(SUBSTITUTE(F8,"&lt;li&gt;",CHAR(10)),"&lt;/li&gt;",""),"&lt;br&gt;",CHAR(10)),"&lt;strong&gt;",""))</f>
        <v>&lt;p&gt;Nouvelle piste créée pour équipe Ventes le 03/02/2026. Tentative d'enrichissement lead échouée (email invalide). Aucun échange ou action ultérieure enregistrée. Mention d'une finalisation en octobre 2025, sans détail. Pas d'activité récente ni prochaine étape identifiée.&lt;/p&gt;</v>
      </c>
      <c r="H8" s="12" cm="1" t="str">
        <f t="array" ref="H8">IF(G8="","",SUBSTITUTE(SUBSTITUTE(SUBSTITUTE(SUBSTITUTE(SUBSTITUTE(G8,"&lt;p&gt;",""),"&lt;/p&gt;",""),"&lt;ul&gt;",""),"&lt;/ul&gt;",""),"&lt;/strong&gt;",""))</f>
        <v>Nouvelle piste créée pour équipe Ventes le 03/02/2026. Tentative d'enrichissement lead échouée (email invalide). Aucun échange ou action ultérieure enregistrée. Mention d'une finalisation en octobre 2025, sans détail. Pas d'activité récente ni prochaine étape identifiée.</v>
      </c>
      <c r="I8" s="12" cm="1" t="str">
        <f t="array" ref="I8">IF(C8="","",IF(OR(H8="",H8=0,H8=FALSE),"-",H8))</f>
        <v>Nouvelle piste créée pour équipe Ventes le 03/02/2026. Tentative d'enrichissement lead échouée (email invalide). Aucun échange ou action ultérieure enregistrée. Mention d'une finalisation en octobre 2025, sans détail. Pas d'activité récente ni prochaine étape identifiée.</v>
      </c>
      <c r="J8" s="13">
</c>
      <c r="K8" s="9" t="s">
        <v>28</v>
      </c>
      <c r="L8" s="9" cm="1" t="str">
        <f t="array" ref="L8">IF(C8="","",IF(K8="Mort / Plus rien à faire","KO","OK"))</f>
        <v>OK</v>
      </c>
      <c r="M8" s="14">
        <v>46022.470659722225</v>
      </c>
      <c r="N8" s="14" cm="1" t="n">
        <f t="array" ref="N8">IF(OR(C8="",M8="",M8=0),"",M8)</f>
        <v>46022.470659722225</v>
      </c>
      <c r="O8" s="14">
</c>
      <c r="P8" s="14" cm="1" t="str">
        <f t="array" ref="P8">IF(C8="","",IF(OR(O8="",O8=0),"-",O8))</f>
        <v>-</v>
      </c>
      <c r="Q8" s="15">
        <v>100000</v>
      </c>
      <c r="R8" s="9" cm="1" t="str">
        <f t="array" ref="R8">IF(C8="","",ROUND(Q8/1000000,3)&amp;" M€")</f>
        <v>0.1 M€</v>
      </c>
      <c r="S8" s="16">
        <v>100</v>
      </c>
      <c r="T8" s="9" cm="1" t="str">
        <f t="array" ref="T8">IF(C8="","",SUBSTITUTE(S8,"","")&amp;"%")</f>
        <v>100%</v>
      </c>
      <c r="U8" s="12" cm="1" t="str">
        <f t="array" ref="U8">IF(($N8="")*($P8=""),"",IF(($N8&lt;&gt;"")*($N8&gt;TODAY()-9)*($N8&lt;TODAY()+1)*($P8&lt;&gt;"")*($P8&gt;=TODAY())*($P8&lt;=TODAY()+13),"Semaine passée &amp; à venir",IF(($N8&lt;&gt;"")*($N8&gt;TODAY()-9)*($N8&lt;TODAY()+1),"Semaine passée",IF(($P8&lt;&gt;"")*($P8&gt;=TODAY())*($P8&lt;=TODAY()+13),"À venir","Autre"))))</f>
        <v>Autre</v>
      </c>
      <c r="V8" cm="1" t="n">
        <f t="array" ref="V8">IF(C8&lt;&gt;"",1,0)</f>
        <v>1</v>
      </c>
    </row>
    <row r="9" ht="78.75" customHeight="1">
      <c r="A9" s="9" t="s">
        <v>23</v>
      </c>
      <c r="B9" s="9" t="s">
        <v>24</v>
      </c>
      <c r="C9" s="10" t="s">
        <v>38</v>
      </c>
      <c r="D9" s="11" t="s">
        <v>38</v>
      </c>
      <c r="E9" s="9" t="s">
        <v>26</v>
      </c>
      <c r="F9" s="13" t="s">
        <v>39</v>
      </c>
      <c r="G9" s="12" cm="1" t="str">
        <f t="array" ref="G9">IF(F9="","",SUBSTITUTE(SUBSTITUTE(SUBSTITUTE(SUBSTITUTE(F9,"&lt;li&gt;",CHAR(10)),"&lt;/li&gt;",""),"&lt;br&gt;",CHAR(10)),"&lt;strong&gt;",""))</f>
        <v>&lt;p data-oe-version="2.0"&gt;Revalider date pour echange dejeuner et possible nouveau ticket de 100K&lt;/p&gt;</v>
      </c>
      <c r="H9" s="12" cm="1" t="str">
        <f t="array" ref="H9">IF(G9="","",SUBSTITUTE(SUBSTITUTE(SUBSTITUTE(SUBSTITUTE(SUBSTITUTE(G9,"&lt;p&gt;",""),"&lt;/p&gt;",""),"&lt;ul&gt;",""),"&lt;/ul&gt;",""),"&lt;/strong&gt;",""))</f>
        <v>&lt;p data-oe-version="2.0"&gt;Revalider date pour echange dejeuner et possible nouveau ticket de 100K</v>
      </c>
      <c r="I9" s="12" cm="1" t="str">
        <f t="array" ref="I9">IF(C9="","",IF(OR(H9="",H9=0,H9=FALSE),"-",H9))</f>
        <v>&lt;p data-oe-version="2.0"&gt;Revalider date pour echange dejeuner et possible nouveau ticket de 100K</v>
      </c>
      <c r="J9" s="13">
</c>
      <c r="K9" s="9" t="s">
        <v>28</v>
      </c>
      <c r="L9" s="9" cm="1" t="str">
        <f t="array" ref="L9">IF(C9="","",IF(K9="Mort / Plus rien à faire","KO","OK"))</f>
        <v>OK</v>
      </c>
      <c r="M9" s="14">
        <v>46104.61738425926</v>
      </c>
      <c r="N9" s="14" cm="1" t="n">
        <f t="array" ref="N9">IF(OR(C9="",M9="",M9=0),"",M9)</f>
        <v>46104.61738425926</v>
      </c>
      <c r="O9" s="14">
</c>
      <c r="P9" s="14" cm="1" t="str">
        <f t="array" ref="P9">IF(C9="","",IF(OR(O9="",O9=0),"-",O9))</f>
        <v>-</v>
      </c>
      <c r="Q9" s="15">
        <v>100000</v>
      </c>
      <c r="R9" s="9" cm="1" t="str">
        <f t="array" ref="R9">IF(C9="","",ROUND(Q9/1000000,3)&amp;" M€")</f>
        <v>0.1 M€</v>
      </c>
      <c r="S9" s="16">
        <v>100</v>
      </c>
      <c r="T9" s="9" cm="1" t="str">
        <f t="array" ref="T9">IF(C9="","",SUBSTITUTE(S9,"","")&amp;"%")</f>
        <v>100%</v>
      </c>
      <c r="U9" s="12" cm="1" t="str">
        <f t="array" ref="U9">IF(($N9="")*($P9=""),"",IF(($N9&lt;&gt;"")*($N9&gt;TODAY()-9)*($N9&lt;TODAY()+1)*($P9&lt;&gt;"")*($P9&gt;=TODAY())*($P9&lt;=TODAY()+13),"Semaine passée &amp; à venir",IF(($N9&lt;&gt;"")*($N9&gt;TODAY()-9)*($N9&lt;TODAY()+1),"Semaine passée",IF(($P9&lt;&gt;"")*($P9&gt;=TODAY())*($P9&lt;=TODAY()+13),"À venir","Autre"))))</f>
        <v>Autre</v>
      </c>
      <c r="V9" cm="1" t="n">
        <f t="array" ref="V9">IF(C9&lt;&gt;"",1,0)</f>
        <v>1</v>
      </c>
    </row>
    <row r="10" ht="78.75" customHeight="1">
      <c r="A10" s="9" t="s">
        <v>23</v>
      </c>
      <c r="B10" s="9" t="s">
        <v>40</v>
      </c>
      <c r="C10" s="10" t="s">
        <v>41</v>
      </c>
      <c r="D10" s="11" t="s">
        <v>42</v>
      </c>
      <c r="E10" s="9" t="s">
        <v>26</v>
      </c>
      <c r="F10" s="13" t="s">
        <v>43</v>
      </c>
      <c r="G10" s="12" cm="1" t="str">
        <f t="array" ref="G10">IF(F10="","",SUBSTITUTE(SUBSTITUTE(SUBSTITUTE(SUBSTITUTE(F10,"&lt;li&gt;",CHAR(10)),"&lt;/li&gt;",""),"&lt;br&gt;",CHAR(10)),"&lt;strong&gt;",""))</f>
        <v>&lt;p&gt;03/02/2026: Long échange explicatif, confiance renouvelée, décision de maintenir le ticket dans Géodesic. 28/01/2026: Proposition de call 30 min sur remploi pour deux fonds. Lead créé pour équipe Ventes. Pas d'autres activités ni prochaines actions planifiées à ce jour.&lt;/p&gt;</v>
      </c>
      <c r="H10" s="12" cm="1" t="str">
        <f t="array" ref="H10">IF(G10="","",SUBSTITUTE(SUBSTITUTE(SUBSTITUTE(SUBSTITUTE(SUBSTITUTE(G10,"&lt;p&gt;",""),"&lt;/p&gt;",""),"&lt;ul&gt;",""),"&lt;/ul&gt;",""),"&lt;/strong&gt;",""))</f>
        <v>03/02/2026: Long échange explicatif, confiance renouvelée, décision de maintenir le ticket dans Géodesic. 28/01/2026: Proposition de call 30 min sur remploi pour deux fonds. Lead créé pour équipe Ventes. Pas d'autres activités ni prochaines actions planifiées à ce jour.</v>
      </c>
      <c r="I10" s="12" cm="1" t="str">
        <f t="array" ref="I10">IF(C10="","",IF(OR(H10="",H10=0,H10=FALSE),"-",H10))</f>
        <v>03/02/2026: Long échange explicatif, confiance renouvelée, décision de maintenir le ticket dans Géodesic. 28/01/2026: Proposition de call 30 min sur remploi pour deux fonds. Lead créé pour équipe Ventes. Pas d'autres activités ni prochaines actions planifiées à ce jour.</v>
      </c>
      <c r="J10" s="13">
</c>
      <c r="K10" s="9" t="s">
        <v>28</v>
      </c>
      <c r="L10" s="9" cm="1" t="str">
        <f t="array" ref="L10">IF(C10="","",IF(K10="Mort / Plus rien à faire","KO","OK"))</f>
        <v>OK</v>
      </c>
      <c r="M10" s="14">
        <v>46083.72099537037</v>
      </c>
      <c r="N10" s="14" cm="1" t="n">
        <f t="array" ref="N10">IF(OR(C10="",M10="",M10=0),"",M10)</f>
        <v>46083.72099537037</v>
      </c>
      <c r="O10" s="14">
</c>
      <c r="P10" s="14" cm="1" t="str">
        <f t="array" ref="P10">IF(C10="","",IF(OR(O10="",O10=0),"-",O10))</f>
        <v>-</v>
      </c>
      <c r="Q10" s="15">
        <v>100000</v>
      </c>
      <c r="R10" s="9" cm="1" t="str">
        <f t="array" ref="R10">IF(C10="","",ROUND(Q10/1000000,3)&amp;" M€")</f>
        <v>0.1 M€</v>
      </c>
      <c r="S10" s="16">
        <v>100</v>
      </c>
      <c r="T10" s="9" cm="1" t="str">
        <f t="array" ref="T10">IF(C10="","",SUBSTITUTE(S10,"","")&amp;"%")</f>
        <v>100%</v>
      </c>
      <c r="U10" s="12" cm="1" t="str">
        <f t="array" ref="U10">IF(($N10="")*($P10=""),"",IF(($N10&lt;&gt;"")*($N10&gt;TODAY()-9)*($N10&lt;TODAY()+1)*($P10&lt;&gt;"")*($P10&gt;=TODAY())*($P10&lt;=TODAY()+13),"Semaine passée &amp; à venir",IF(($N10&lt;&gt;"")*($N10&gt;TODAY()-9)*($N10&lt;TODAY()+1),"Semaine passée",IF(($P10&lt;&gt;"")*($P10&gt;=TODAY())*($P10&lt;=TODAY()+13),"À venir","Autre"))))</f>
        <v>Autre</v>
      </c>
      <c r="V10" cm="1" t="n">
        <f t="array" ref="V10">IF(C10&lt;&gt;"",1,0)</f>
        <v>1</v>
      </c>
    </row>
    <row r="11" ht="78.75" customHeight="1">
      <c r="A11" s="9" t="s">
        <v>23</v>
      </c>
      <c r="B11" s="9" t="s">
        <v>24</v>
      </c>
      <c r="C11" s="10" t="s">
        <v>38</v>
      </c>
      <c r="D11" s="11" t="s">
        <v>38</v>
      </c>
      <c r="E11" s="9" t="s">
        <v>26</v>
      </c>
      <c r="F11" s="13" t="s">
        <v>44</v>
      </c>
      <c r="G11" s="12" cm="1" t="str">
        <f t="array" ref="G11">IF(F11="","",SUBSTITUTE(SUBSTITUTE(SUBSTITUTE(SUBSTITUTE(F11,"&lt;li&gt;",CHAR(10)),"&lt;/li&gt;",""),"&lt;br&gt;",CHAR(10)),"&lt;strong&gt;",""))</f>
        <v>&lt;p&gt;26/02 call prospect, évoqué possible nouvel investissement 100K Géodesic, prospect ouvert à échange, déjeuner envisagé le 24/03 chez Bourrienne, attente confirmation. Aucun retour prospect sur fonds présentés à ce stade. Prochaine étape : organiser déjeuner, relancer si besoin.&lt;/p&gt;</v>
      </c>
      <c r="H11" s="12" cm="1" t="str">
        <f t="array" ref="H11">IF(G11="","",SUBSTITUTE(SUBSTITUTE(SUBSTITUTE(SUBSTITUTE(SUBSTITUTE(G11,"&lt;p&gt;",""),"&lt;/p&gt;",""),"&lt;ul&gt;",""),"&lt;/ul&gt;",""),"&lt;/strong&gt;",""))</f>
        <v>26/02 call prospect, évoqué possible nouvel investissement 100K Géodesic, prospect ouvert à échange, déjeuner envisagé le 24/03 chez Bourrienne, attente confirmation. Aucun retour prospect sur fonds présentés à ce stade. Prochaine étape : organiser déjeuner, relancer si besoin.</v>
      </c>
      <c r="I11" s="12" cm="1" t="str">
        <f t="array" ref="I11">IF(C11="","",IF(OR(H11="",H11=0,H11=FALSE),"-",H11))</f>
        <v>26/02 call prospect, évoqué possible nouvel investissement 100K Géodesic, prospect ouvert à échange, déjeuner envisagé le 24/03 chez Bourrienne, attente confirmation. Aucun retour prospect sur fonds présentés à ce stade. Prochaine étape : organiser déjeuner, relancer si besoin.</v>
      </c>
      <c r="J11" s="13" t="s">
        <v>45</v>
      </c>
      <c r="K11" s="9" t="s">
        <v>46</v>
      </c>
      <c r="L11" s="9" cm="1" t="str">
        <f t="array" ref="L11">IF(C11="","",IF(K11="Mort / Plus rien à faire","KO","OK"))</f>
        <v>OK</v>
      </c>
      <c r="M11" s="14">
        <v>46087.70732638889</v>
      </c>
      <c r="N11" s="14" cm="1" t="n">
        <f t="array" ref="N11">IF(OR(C11="",M11="",M11=0),"",M11)</f>
        <v>46087.70732638889</v>
      </c>
      <c r="O11" s="14">
</c>
      <c r="P11" s="14" cm="1" t="str">
        <f t="array" ref="P11">IF(C11="","",IF(OR(O11="",O11=0),"-",O11))</f>
        <v>-</v>
      </c>
      <c r="Q11" s="15">
        <v>100000</v>
      </c>
      <c r="R11" s="9" cm="1" t="str">
        <f t="array" ref="R11">IF(C11="","",ROUND(Q11/1000000,3)&amp;" M€")</f>
        <v>0.1 M€</v>
      </c>
      <c r="S11" s="16">
        <v>50</v>
      </c>
      <c r="T11" s="9" cm="1" t="str">
        <f t="array" ref="T11">IF(C11="","",SUBSTITUTE(S11,"","")&amp;"%")</f>
        <v>50%</v>
      </c>
      <c r="U11" s="12" cm="1" t="str">
        <f t="array" ref="U11">IF(($N11="")*($P11=""),"",IF(($N11&lt;&gt;"")*($N11&gt;TODAY()-9)*($N11&lt;TODAY()+1)*($P11&lt;&gt;"")*($P11&gt;=TODAY())*($P11&lt;=TODAY()+13),"Semaine passée &amp; à venir",IF(($N11&lt;&gt;"")*($N11&gt;TODAY()-9)*($N11&lt;TODAY()+1),"Semaine passée",IF(($P11&lt;&gt;"")*($P11&gt;=TODAY())*($P11&lt;=TODAY()+13),"À venir","Autre"))))</f>
        <v>Autre</v>
      </c>
      <c r="V11" cm="1" t="n">
        <f t="array" ref="V11">IF(C11&lt;&gt;"",1,0)</f>
        <v>1</v>
      </c>
    </row>
    <row r="12" ht="78.75" customHeight="1">
      <c r="A12" s="9" t="s">
        <v>23</v>
      </c>
      <c r="B12" s="9" t="s">
        <v>24</v>
      </c>
      <c r="C12" s="10" t="s">
        <v>47</v>
      </c>
      <c r="D12" s="11" t="s">
        <v>47</v>
      </c>
      <c r="E12" s="9" t="s">
        <v>48</v>
      </c>
      <c r="F12" s="13" t="s">
        <v>49</v>
      </c>
      <c r="G12" s="12" cm="1" t="str">
        <f t="array" ref="G12">IF(F12="","",SUBSTITUTE(SUBSTITUTE(SUBSTITUTE(SUBSTITUTE(F12,"&lt;li&gt;",CHAR(10)),"&lt;/li&gt;",""),"&lt;br&gt;",CHAR(10)),"&lt;strong&gt;",""))</f>
        <v>&lt;p&gt;Lead créé équipe Ventes, mention OdP, aucune activité ou échange ultérieur enregistré, pas d'action menée ni de retour prospect, aucune prochaine étape identifiée. Aucun suivi ou interaction supplémentaire depuis la création de la piste. Pas d'avis prospect sur les fonds présentés. Aucun passage en comité mentionné.&lt;/p&gt;</v>
      </c>
      <c r="H12" s="12" cm="1" t="str">
        <f t="array" ref="H12">IF(G12="","",SUBSTITUTE(SUBSTITUTE(SUBSTITUTE(SUBSTITUTE(SUBSTITUTE(G12,"&lt;p&gt;",""),"&lt;/p&gt;",""),"&lt;ul&gt;",""),"&lt;/ul&gt;",""),"&lt;/strong&gt;",""))</f>
        <v>Lead créé équipe Ventes, mention OdP, aucune activité ou échange ultérieur enregistré, pas d'action menée ni de retour prospect, aucune prochaine étape identifiée. Aucun suivi ou interaction supplémentaire depuis la création de la piste. Pas d'avis prospect sur les fonds présentés. Aucun passage en comité mentionné.</v>
      </c>
      <c r="I12" s="12" cm="1" t="str">
        <f t="array" ref="I12">IF(C12="","",IF(OR(H12="",H12=0,H12=FALSE),"-",H12))</f>
        <v>Lead créé équipe Ventes, mention OdP, aucune activité ou échange ultérieur enregistré, pas d'action menée ni de retour prospect, aucune prochaine étape identifiée. Aucun suivi ou interaction supplémentaire depuis la création de la piste. Pas d'avis prospect sur les fonds présentés. Aucun passage en comité mentionné.</v>
      </c>
      <c r="J12" s="13">
</c>
      <c r="K12" s="9" t="s">
        <v>46</v>
      </c>
      <c r="L12" s="9" cm="1" t="str">
        <f t="array" ref="L12">IF(C12="","",IF(K12="Mort / Plus rien à faire","KO","OK"))</f>
        <v>OK</v>
      </c>
      <c r="M12" s="14">
        <v>46105.58820601852</v>
      </c>
      <c r="N12" s="14" cm="1" t="n">
        <f t="array" ref="N12">IF(OR(C12="",M12="",M12=0),"",M12)</f>
        <v>46105.58820601852</v>
      </c>
      <c r="O12" s="14">
</c>
      <c r="P12" s="14" cm="1" t="str">
        <f t="array" ref="P12">IF(C12="","",IF(OR(O12="",O12=0),"-",O12))</f>
        <v>-</v>
      </c>
      <c r="Q12" s="15">
        <v>0</v>
      </c>
      <c r="R12" s="9" cm="1" t="str">
        <f t="array" ref="R12">IF(C12="","",ROUND(Q12/1000000,3)&amp;" M€")</f>
        <v>0 M€</v>
      </c>
      <c r="S12" s="16">
        <v>30</v>
      </c>
      <c r="T12" s="9" cm="1" t="str">
        <f t="array" ref="T12">IF(C12="","",SUBSTITUTE(S12,"","")&amp;"%")</f>
        <v>30%</v>
      </c>
      <c r="U12" s="12" cm="1" t="str">
        <f t="array" ref="U12">IF(($N12="")*($P12=""),"",IF(($N12&lt;&gt;"")*($N12&gt;TODAY()-9)*($N12&lt;TODAY()+1)*($P12&lt;&gt;"")*($P12&gt;=TODAY())*($P12&lt;=TODAY()+13),"Semaine passée &amp; à venir",IF(($N12&lt;&gt;"")*($N12&gt;TODAY()-9)*($N12&lt;TODAY()+1),"Semaine passée",IF(($P12&lt;&gt;"")*($P12&gt;=TODAY())*($P12&lt;=TODAY()+13),"À venir","Autre"))))</f>
        <v>Autre</v>
      </c>
      <c r="V12" cm="1" t="n">
        <f t="array" ref="V12">IF(C12&lt;&gt;"",1,0)</f>
        <v>1</v>
      </c>
    </row>
    <row r="13" ht="78.75" customHeight="1">
      <c r="A13" s="9" t="s">
        <v>23</v>
      </c>
      <c r="B13" s="9" t="s">
        <v>24</v>
      </c>
      <c r="C13" s="10" t="s">
        <v>50</v>
      </c>
      <c r="D13" s="11" t="s">
        <v>51</v>
      </c>
      <c r="E13" s="9" t="s">
        <v>48</v>
      </c>
      <c r="F13" s="13" t="s">
        <v>52</v>
      </c>
      <c r="G13" s="12" cm="1" t="str">
        <f t="array" ref="G13">IF(F13="","",SUBSTITUTE(SUBSTITUTE(SUBSTITUTE(SUBSTITUTE(F13,"&lt;li&gt;",CHAR(10)),"&lt;/li&gt;",""),"&lt;br&gt;",CHAR(10)),"&lt;strong&gt;",""))</f>
        <v>&lt;p&gt;11 mars : échange physique avec OdP, intérêt exprimé pour levée Latitude, deal ATDI, mention d'événement LP. Lead initié par OdP. Pas de retour prospect détaillé sur fonds, prochaines étapes non précisées, dernière activité enregistrée le 18 mars. Suivi à poursuivre.&lt;/p&gt;</v>
      </c>
      <c r="H13" s="12" cm="1" t="str">
        <f t="array" ref="H13">IF(G13="","",SUBSTITUTE(SUBSTITUTE(SUBSTITUTE(SUBSTITUTE(SUBSTITUTE(G13,"&lt;p&gt;",""),"&lt;/p&gt;",""),"&lt;ul&gt;",""),"&lt;/ul&gt;",""),"&lt;/strong&gt;",""))</f>
        <v>11 mars : échange physique avec OdP, intérêt exprimé pour levée Latitude, deal ATDI, mention d'événement LP. Lead initié par OdP. Pas de retour prospect détaillé sur fonds, prochaines étapes non précisées, dernière activité enregistrée le 18 mars. Suivi à poursuivre.</v>
      </c>
      <c r="I13" s="12" cm="1" t="str">
        <f t="array" ref="I13">IF(C13="","",IF(OR(H13="",H13=0,H13=FALSE),"-",H13))</f>
        <v>11 mars : échange physique avec OdP, intérêt exprimé pour levée Latitude, deal ATDI, mention d'événement LP. Lead initié par OdP. Pas de retour prospect détaillé sur fonds, prochaines étapes non précisées, dernière activité enregistrée le 18 mars. Suivi à poursuivre.</v>
      </c>
      <c r="J13" s="13">
</c>
      <c r="K13" s="9" t="s">
        <v>46</v>
      </c>
      <c r="L13" s="9" cm="1" t="str">
        <f t="array" ref="L13">IF(C13="","",IF(K13="Mort / Plus rien à faire","KO","OK"))</f>
        <v>OK</v>
      </c>
      <c r="M13" s="14">
        <v>46111.433599537035</v>
      </c>
      <c r="N13" s="14" cm="1" t="n">
        <f t="array" ref="N13">IF(OR(C13="",M13="",M13=0),"",M13)</f>
        <v>46111.433599537035</v>
      </c>
      <c r="O13" s="14">
</c>
      <c r="P13" s="14" cm="1" t="str">
        <f t="array" ref="P13">IF(C13="","",IF(OR(O13="",O13=0),"-",O13))</f>
        <v>-</v>
      </c>
      <c r="Q13" s="15">
        <v>1000000</v>
      </c>
      <c r="R13" s="9" cm="1" t="str">
        <f t="array" ref="R13">IF(C13="","",ROUND(Q13/1000000,3)&amp;" M€")</f>
        <v>1 M€</v>
      </c>
      <c r="S13" s="16">
        <v>30</v>
      </c>
      <c r="T13" s="9" cm="1" t="str">
        <f t="array" ref="T13">IF(C13="","",SUBSTITUTE(S13,"","")&amp;"%")</f>
        <v>30%</v>
      </c>
      <c r="U13" s="12" cm="1" t="str">
        <f t="array" ref="U13">IF(($N13="")*($P13=""),"",IF(($N13&lt;&gt;"")*($N13&gt;TODAY()-9)*($N13&lt;TODAY()+1)*($P13&lt;&gt;"")*($P13&gt;=TODAY())*($P13&lt;=TODAY()+13),"Semaine passée &amp; à venir",IF(($N13&lt;&gt;"")*($N13&gt;TODAY()-9)*($N13&lt;TODAY()+1),"Semaine passée",IF(($P13&lt;&gt;"")*($P13&gt;=TODAY())*($P13&lt;=TODAY()+13),"À venir","Autre"))))</f>
        <v>Semaine passée</v>
      </c>
      <c r="V13" cm="1" t="n">
        <f t="array" ref="V13">IF(C13&lt;&gt;"",1,0)</f>
        <v>1</v>
      </c>
    </row>
    <row r="14" ht="78.75" customHeight="1">
      <c r="A14" s="9" t="s">
        <v>23</v>
      </c>
      <c r="B14" s="9" t="s">
        <v>40</v>
      </c>
      <c r="C14" s="10" t="s">
        <v>53</v>
      </c>
      <c r="D14" s="11" t="s">
        <v>54</v>
      </c>
      <c r="E14" s="9" t="s">
        <v>26</v>
      </c>
      <c r="F14" s="13" t="s">
        <v>55</v>
      </c>
      <c r="G14" s="12" cm="1" t="str">
        <f t="array" ref="G14">IF(F14="","",SUBSTITUTE(SUBSTITUTE(SUBSTITUTE(SUBSTITUTE(F14,"&lt;li&gt;",CHAR(10)),"&lt;/li&gt;",""),"&lt;br&gt;",CHAR(10)),"&lt;strong&gt;",""))</f>
        <v>&lt;p&gt;Déj. 24/03 avec Daylight FO (Charles, Olivier, Thomas). Call 27/03 pour valider offre bancaire refinancement PTF global : attente offres écrites banques, possible 1M dans Géodesic, 1M dans Straton. Prochaine étape : réception offres écrites, suivi à prévoir.&lt;/p&gt;</v>
      </c>
      <c r="H14" s="12" cm="1" t="str">
        <f t="array" ref="H14">IF(G14="","",SUBSTITUTE(SUBSTITUTE(SUBSTITUTE(SUBSTITUTE(SUBSTITUTE(G14,"&lt;p&gt;",""),"&lt;/p&gt;",""),"&lt;ul&gt;",""),"&lt;/ul&gt;",""),"&lt;/strong&gt;",""))</f>
        <v>Déj. 24/03 avec Daylight FO (Charles, Olivier, Thomas). Call 27/03 pour valider offre bancaire refinancement PTF global : attente offres écrites banques, possible 1M dans Géodesic, 1M dans Straton. Prochaine étape : réception offres écrites, suivi à prévoir.</v>
      </c>
      <c r="I14" s="12" cm="1" t="str">
        <f t="array" ref="I14">IF(C14="","",IF(OR(H14="",H14=0,H14=FALSE),"-",H14))</f>
        <v>Déj. 24/03 avec Daylight FO (Charles, Olivier, Thomas). Call 27/03 pour valider offre bancaire refinancement PTF global : attente offres écrites banques, possible 1M dans Géodesic, 1M dans Straton. Prochaine étape : réception offres écrites, suivi à prévoir.</v>
      </c>
      <c r="J14" s="13">
</c>
      <c r="K14" s="9" t="s">
        <v>46</v>
      </c>
      <c r="L14" s="9" cm="1" t="str">
        <f t="array" ref="L14">IF(C14="","",IF(K14="Mort / Plus rien à faire","KO","OK"))</f>
        <v>OK</v>
      </c>
      <c r="M14" s="14">
        <v>46108.68950231482</v>
      </c>
      <c r="N14" s="14" cm="1" t="n">
        <f t="array" ref="N14">IF(OR(C14="",M14="",M14=0),"",M14)</f>
        <v>46108.68950231482</v>
      </c>
      <c r="O14" s="14">
</c>
      <c r="P14" s="14" cm="1" t="str">
        <f t="array" ref="P14">IF(C14="","",IF(OR(O14="",O14=0),"-",O14))</f>
        <v>-</v>
      </c>
      <c r="Q14" s="15">
        <v>900000</v>
      </c>
      <c r="R14" s="9" cm="1" t="str">
        <f t="array" ref="R14">IF(C14="","",ROUND(Q14/1000000,3)&amp;" M€")</f>
        <v>0.9 M€</v>
      </c>
      <c r="S14" s="16">
        <v>30</v>
      </c>
      <c r="T14" s="9" cm="1" t="str">
        <f t="array" ref="T14">IF(C14="","",SUBSTITUTE(S14,"","")&amp;"%")</f>
        <v>30%</v>
      </c>
      <c r="U14" s="12" cm="1" t="str">
        <f t="array" ref="U14">IF(($N14="")*($P14=""),"",IF(($N14&lt;&gt;"")*($N14&gt;TODAY()-9)*($N14&lt;TODAY()+1)*($P14&lt;&gt;"")*($P14&gt;=TODAY())*($P14&lt;=TODAY()+13),"Semaine passée &amp; à venir",IF(($N14&lt;&gt;"")*($N14&gt;TODAY()-9)*($N14&lt;TODAY()+1),"Semaine passée",IF(($P14&lt;&gt;"")*($P14&gt;=TODAY())*($P14&lt;=TODAY()+13),"À venir","Autre"))))</f>
        <v>Semaine passée</v>
      </c>
      <c r="V14" cm="1" t="n">
        <f t="array" ref="V14">IF(C14&lt;&gt;"",1,0)</f>
        <v>1</v>
      </c>
    </row>
    <row r="15" ht="78.75" customHeight="1">
      <c r="A15" s="9" t="s">
        <v>23</v>
      </c>
      <c r="B15" s="9" t="s">
        <v>56</v>
      </c>
      <c r="C15" s="10" t="s">
        <v>57</v>
      </c>
      <c r="D15" s="11" t="s">
        <v>58</v>
      </c>
      <c r="E15" s="9" t="s">
        <v>59</v>
      </c>
      <c r="F15" s="13" t="s">
        <v>60</v>
      </c>
      <c r="G15" s="12" cm="1" t="str">
        <f t="array" ref="G15">IF(F15="","",SUBSTITUTE(SUBSTITUTE(SUBSTITUTE(SUBSTITUTE(F15,"&lt;li&gt;",CHAR(10)),"&lt;/li&gt;",""),"&lt;br&gt;",CHAR(10)),"&lt;strong&gt;",""))</f>
        <v>&lt;p&gt;Piste créée pour équipe Ventes (18/02). Aucune action significative menée depuis, pas d'échange ou retour prospect enregistré. Prochaine étape prévue : déjeuner avec Benoit Bourdin le 7 avril. Aucun retour prospect sur fonds présentés, pas de conclusion ou avis exprimé à ce jour.&lt;/p&gt;</v>
      </c>
      <c r="H15" s="12" cm="1" t="str">
        <f t="array" ref="H15">IF(G15="","",SUBSTITUTE(SUBSTITUTE(SUBSTITUTE(SUBSTITUTE(SUBSTITUTE(G15,"&lt;p&gt;",""),"&lt;/p&gt;",""),"&lt;ul&gt;",""),"&lt;/ul&gt;",""),"&lt;/strong&gt;",""))</f>
        <v>Piste créée pour équipe Ventes (18/02). Aucune action significative menée depuis, pas d'échange ou retour prospect enregistré. Prochaine étape prévue : déjeuner avec Benoit Bourdin le 7 avril. Aucun retour prospect sur fonds présentés, pas de conclusion ou avis exprimé à ce jour.</v>
      </c>
      <c r="I15" s="12" cm="1" t="str">
        <f t="array" ref="I15">IF(C15="","",IF(OR(H15="",H15=0,H15=FALSE),"-",H15))</f>
        <v>Piste créée pour équipe Ventes (18/02). Aucune action significative menée depuis, pas d'échange ou retour prospect enregistré. Prochaine étape prévue : déjeuner avec Benoit Bourdin le 7 avril. Aucun retour prospect sur fonds présentés, pas de conclusion ou avis exprimé à ce jour.</v>
      </c>
      <c r="J15" s="13" t="s">
        <v>61</v>
      </c>
      <c r="K15" s="9" t="s">
        <v>62</v>
      </c>
      <c r="L15" s="9" cm="1" t="str">
        <f t="array" ref="L15">IF(C15="","",IF(K15="Mort / Plus rien à faire","KO","OK"))</f>
        <v>OK</v>
      </c>
      <c r="M15" s="14">
        <v>46111.63012731481</v>
      </c>
      <c r="N15" s="14" cm="1" t="n">
        <f t="array" ref="N15">IF(OR(C15="",M15="",M15=0),"",M15)</f>
        <v>46111.63012731481</v>
      </c>
      <c r="O15" s="14">
        <v>46119.083333333336</v>
      </c>
      <c r="P15" s="14" cm="1" t="n">
        <f t="array" ref="P15">IF(C15="","",IF(OR(O15="",O15=0),"-",O15))</f>
        <v>46119.083333333336</v>
      </c>
      <c r="Q15" s="15">
        <v>1000000</v>
      </c>
      <c r="R15" s="9" cm="1" t="str">
        <f t="array" ref="R15">IF(C15="","",ROUND(Q15/1000000,3)&amp;" M€")</f>
        <v>1 M€</v>
      </c>
      <c r="S15" s="16">
        <v>30</v>
      </c>
      <c r="T15" s="9" cm="1" t="str">
        <f t="array" ref="T15">IF(C15="","",SUBSTITUTE(S15,"","")&amp;"%")</f>
        <v>30%</v>
      </c>
      <c r="U15" s="12" cm="1" t="str">
        <f t="array" ref="U15">IF(($N15="")*($P15=""),"",IF(($N15&lt;&gt;"")*($N15&gt;TODAY()-9)*($N15&lt;TODAY()+1)*($P15&lt;&gt;"")*($P15&gt;=TODAY())*($P15&lt;=TODAY()+13),"Semaine passée &amp; à venir",IF(($N15&lt;&gt;"")*($N15&gt;TODAY()-9)*($N15&lt;TODAY()+1),"Semaine passée",IF(($P15&lt;&gt;"")*($P15&gt;=TODAY())*($P15&lt;=TODAY()+13),"À venir","Autre"))))</f>
        <v>Semaine passée &amp; à venir</v>
      </c>
      <c r="V15" cm="1" t="n">
        <f t="array" ref="V15">IF(C15&lt;&gt;"",1,0)</f>
        <v>1</v>
      </c>
    </row>
    <row r="16" ht="78.75" customHeight="1">
      <c r="A16" s="9" t="s">
        <v>23</v>
      </c>
      <c r="B16" s="9" t="s">
        <v>40</v>
      </c>
      <c r="C16" s="10" t="s">
        <v>63</v>
      </c>
      <c r="D16" s="11" t="s">
        <v>64</v>
      </c>
      <c r="E16" s="9" t="s">
        <v>65</v>
      </c>
      <c r="F16" s="13" t="s">
        <v>66</v>
      </c>
      <c r="G16" s="12" cm="1" t="str">
        <f t="array" ref="G16">IF(F16="","",SUBSTITUTE(SUBSTITUTE(SUBSTITUTE(SUBSTITUTE(F16,"&lt;li&gt;",CHAR(10)),"&lt;/li&gt;",""),"&lt;br&gt;",CHAR(10)),"&lt;strong&gt;",""))</f>
        <v>&lt;p&gt;Visio 08/01 présentation Audacia/Emeraude, demande infos sur Géodésic/fonds Défense. Plusieurs appels pour RDV Paris/Toulouse avec B. Continente, relances sans réponse, indisponible jusqu'au 9/03, passage Paris 23/24 mars. Prochaine étape : rappeler pour fixer RDV à Paris/Toulouse courant mars.&lt;/p&gt;</v>
      </c>
      <c r="H16" s="12" cm="1" t="str">
        <f t="array" ref="H16">IF(G16="","",SUBSTITUTE(SUBSTITUTE(SUBSTITUTE(SUBSTITUTE(SUBSTITUTE(G16,"&lt;p&gt;",""),"&lt;/p&gt;",""),"&lt;ul&gt;",""),"&lt;/ul&gt;",""),"&lt;/strong&gt;",""))</f>
        <v>Visio 08/01 présentation Audacia/Emeraude, demande infos sur Géodésic/fonds Défense. Plusieurs appels pour RDV Paris/Toulouse avec B. Continente, relances sans réponse, indisponible jusqu'au 9/03, passage Paris 23/24 mars. Prochaine étape : rappeler pour fixer RDV à Paris/Toulouse courant mars.</v>
      </c>
      <c r="I16" s="12" cm="1" t="str">
        <f t="array" ref="I16">IF(C16="","",IF(OR(H16="",H16=0,H16=FALSE),"-",H16))</f>
        <v>Visio 08/01 présentation Audacia/Emeraude, demande infos sur Géodésic/fonds Défense. Plusieurs appels pour RDV Paris/Toulouse avec B. Continente, relances sans réponse, indisponible jusqu'au 9/03, passage Paris 23/24 mars. Prochaine étape : rappeler pour fixer RDV à Paris/Toulouse courant mars.</v>
      </c>
      <c r="J16" s="13">
</c>
      <c r="K16" s="9" t="s">
        <v>67</v>
      </c>
      <c r="L16" s="9" cm="1" t="str">
        <f t="array" ref="L16">IF(C16="","",IF(K16="Mort / Plus rien à faire","KO","OK"))</f>
        <v>OK</v>
      </c>
      <c r="M16" s="14">
        <v>46093.66744212963</v>
      </c>
      <c r="N16" s="14" cm="1" t="n">
        <f t="array" ref="N16">IF(OR(C16="",M16="",M16=0),"",M16)</f>
        <v>46093.66744212963</v>
      </c>
      <c r="O16" s="14">
</c>
      <c r="P16" s="14" cm="1" t="str">
        <f t="array" ref="P16">IF(C16="","",IF(OR(O16="",O16=0),"-",O16))</f>
        <v>-</v>
      </c>
      <c r="Q16" s="15">
        <v>0</v>
      </c>
      <c r="R16" s="9" cm="1" t="str">
        <f t="array" ref="R16">IF(C16="","",ROUND(Q16/1000000,3)&amp;" M€")</f>
        <v>0 M€</v>
      </c>
      <c r="S16" s="16">
        <v>30</v>
      </c>
      <c r="T16" s="9" cm="1" t="str">
        <f t="array" ref="T16">IF(C16="","",SUBSTITUTE(S16,"","")&amp;"%")</f>
        <v>30%</v>
      </c>
      <c r="U16" s="12" cm="1" t="str">
        <f t="array" ref="U16">IF(($N16="")*($P16=""),"",IF(($N16&lt;&gt;"")*($N16&gt;TODAY()-9)*($N16&lt;TODAY()+1)*($P16&lt;&gt;"")*($P16&gt;=TODAY())*($P16&lt;=TODAY()+13),"Semaine passée &amp; à venir",IF(($N16&lt;&gt;"")*($N16&gt;TODAY()-9)*($N16&lt;TODAY()+1),"Semaine passée",IF(($P16&lt;&gt;"")*($P16&gt;=TODAY())*($P16&lt;=TODAY()+13),"À venir","Autre"))))</f>
        <v>Autre</v>
      </c>
      <c r="V16" cm="1" t="n">
        <f t="array" ref="V16">IF(C16&lt;&gt;"",1,0)</f>
        <v>1</v>
      </c>
    </row>
    <row r="17" ht="78.75" customHeight="1">
      <c r="A17" s="9" t="s">
        <v>23</v>
      </c>
      <c r="B17" s="9" t="s">
        <v>40</v>
      </c>
      <c r="C17" s="10" t="s">
        <v>68</v>
      </c>
      <c r="D17" s="11" t="s">
        <v>69</v>
      </c>
      <c r="E17" s="9" t="s">
        <v>65</v>
      </c>
      <c r="F17" s="13" t="s">
        <v>70</v>
      </c>
      <c r="G17" s="12" cm="1" t="str">
        <f t="array" ref="G17">IF(F17="","",SUBSTITUTE(SUBSTITUTE(SUBSTITUTE(SUBSTITUTE(F17,"&lt;li&gt;",CHAR(10)),"&lt;/li&gt;",""),"&lt;br&gt;",CHAR(10)),"&lt;strong&gt;",""))</f>
        <v>&lt;p&gt;Café Toulouse 24/03 avec Guillaume Duport, échanges sur fonds Audacia, contact à venir avec Métagram/Patrinum, intérêt marqué pour fonds Défense, questions sur valos/dealflow, tickets habituels 100k hors VC, mail de suivi et RDV visio avec Thomas S prévus. Relances et organisation en amont par Pauline Cavalié.&lt;/p&gt;</v>
      </c>
      <c r="H17" s="12" cm="1" t="str">
        <f t="array" ref="H17">IF(G17="","",SUBSTITUTE(SUBSTITUTE(SUBSTITUTE(SUBSTITUTE(SUBSTITUTE(G17,"&lt;p&gt;",""),"&lt;/p&gt;",""),"&lt;ul&gt;",""),"&lt;/ul&gt;",""),"&lt;/strong&gt;",""))</f>
        <v>Café Toulouse 24/03 avec Guillaume Duport, échanges sur fonds Audacia, contact à venir avec Métagram/Patrinum, intérêt marqué pour fonds Défense, questions sur valos/dealflow, tickets habituels 100k hors VC, mail de suivi et RDV visio avec Thomas S prévus. Relances et organisation en amont par Pauline Cavalié.</v>
      </c>
      <c r="I17" s="12" cm="1" t="str">
        <f t="array" ref="I17">IF(C17="","",IF(OR(H17="",H17=0,H17=FALSE),"-",H17))</f>
        <v>Café Toulouse 24/03 avec Guillaume Duport, échanges sur fonds Audacia, contact à venir avec Métagram/Patrinum, intérêt marqué pour fonds Défense, questions sur valos/dealflow, tickets habituels 100k hors VC, mail de suivi et RDV visio avec Thomas S prévus. Relances et organisation en amont par Pauline Cavalié.</v>
      </c>
      <c r="J17" s="13">
</c>
      <c r="K17" s="9" t="s">
        <v>46</v>
      </c>
      <c r="L17" s="9" cm="1" t="str">
        <f t="array" ref="L17">IF(C17="","",IF(K17="Mort / Plus rien à faire","KO","OK"))</f>
        <v>OK</v>
      </c>
      <c r="M17" s="14">
        <v>46105.661574074074</v>
      </c>
      <c r="N17" s="14" cm="1" t="n">
        <f t="array" ref="N17">IF(OR(C17="",M17="",M17=0),"",M17)</f>
        <v>46105.661574074074</v>
      </c>
      <c r="O17" s="14">
</c>
      <c r="P17" s="14" cm="1" t="str">
        <f t="array" ref="P17">IF(C17="","",IF(OR(O17="",O17=0),"-",O17))</f>
        <v>-</v>
      </c>
      <c r="Q17" s="15">
        <v>0</v>
      </c>
      <c r="R17" s="9" cm="1" t="str">
        <f t="array" ref="R17">IF(C17="","",ROUND(Q17/1000000,3)&amp;" M€")</f>
        <v>0 M€</v>
      </c>
      <c r="S17" s="16">
        <v>30</v>
      </c>
      <c r="T17" s="9" cm="1" t="str">
        <f t="array" ref="T17">IF(C17="","",SUBSTITUTE(S17,"","")&amp;"%")</f>
        <v>30%</v>
      </c>
      <c r="U17" s="12" cm="1" t="str">
        <f t="array" ref="U17">IF(($N17="")*($P17=""),"",IF(($N17&lt;&gt;"")*($N17&gt;TODAY()-9)*($N17&lt;TODAY()+1)*($P17&lt;&gt;"")*($P17&gt;=TODAY())*($P17&lt;=TODAY()+13),"Semaine passée &amp; à venir",IF(($N17&lt;&gt;"")*($N17&gt;TODAY()-9)*($N17&lt;TODAY()+1),"Semaine passée",IF(($P17&lt;&gt;"")*($P17&gt;=TODAY())*($P17&lt;=TODAY()+13),"À venir","Autre"))))</f>
        <v>Autre</v>
      </c>
      <c r="V17" cm="1" t="n">
        <f t="array" ref="V17">IF(C17&lt;&gt;"",1,0)</f>
        <v>1</v>
      </c>
    </row>
    <row r="18" ht="78.75" customHeight="1">
      <c r="A18" s="9" t="s">
        <v>23</v>
      </c>
      <c r="B18" s="9" t="s">
        <v>29</v>
      </c>
      <c r="C18" s="10" t="s">
        <v>71</v>
      </c>
      <c r="D18" s="11" t="s">
        <v>72</v>
      </c>
      <c r="E18" s="9" t="s">
        <v>65</v>
      </c>
      <c r="F18" s="13" t="s">
        <v>73</v>
      </c>
      <c r="G18" s="12" cm="1" t="str">
        <f t="array" ref="G18">IF(F18="","",SUBSTITUTE(SUBSTITUTE(SUBSTITUTE(SUBSTITUTE(F18,"&lt;li&gt;",CHAR(10)),"&lt;/li&gt;",""),"&lt;br&gt;",CHAR(10)),"&lt;strong&gt;",""))</f>
        <v>&lt;p&gt;RDV physique 24/03 à Toulouse : reporting fonds Constellation 3, clients appétents PME/non coté, philanthropie (éducation, environnement), intérêt fonds Straton. Prochaine étape : rappeler en avril/mai pour phase d’investissement concrète avec clients. Prise de nouvelles prévue mi-avril.&lt;/p&gt;</v>
      </c>
      <c r="H18" s="12" cm="1" t="str">
        <f t="array" ref="H18">IF(G18="","",SUBSTITUTE(SUBSTITUTE(SUBSTITUTE(SUBSTITUTE(SUBSTITUTE(G18,"&lt;p&gt;",""),"&lt;/p&gt;",""),"&lt;ul&gt;",""),"&lt;/ul&gt;",""),"&lt;/strong&gt;",""))</f>
        <v>RDV physique 24/03 à Toulouse : reporting fonds Constellation 3, clients appétents PME/non coté, philanthropie (éducation, environnement), intérêt fonds Straton. Prochaine étape : rappeler en avril/mai pour phase d’investissement concrète avec clients. Prise de nouvelles prévue mi-avril.</v>
      </c>
      <c r="I18" s="12" cm="1" t="str">
        <f t="array" ref="I18">IF(C18="","",IF(OR(H18="",H18=0,H18=FALSE),"-",H18))</f>
        <v>RDV physique 24/03 à Toulouse : reporting fonds Constellation 3, clients appétents PME/non coté, philanthropie (éducation, environnement), intérêt fonds Straton. Prochaine étape : rappeler en avril/mai pour phase d’investissement concrète avec clients. Prise de nouvelles prévue mi-avril.</v>
      </c>
      <c r="J18" s="13" t="s">
        <v>74</v>
      </c>
      <c r="K18" s="9" t="s">
        <v>46</v>
      </c>
      <c r="L18" s="9" cm="1" t="str">
        <f t="array" ref="L18">IF(C18="","",IF(K18="Mort / Plus rien à faire","KO","OK"))</f>
        <v>OK</v>
      </c>
      <c r="M18" s="14">
        <v>46105.45658564815</v>
      </c>
      <c r="N18" s="14" cm="1" t="n">
        <f t="array" ref="N18">IF(OR(C18="",M18="",M18=0),"",M18)</f>
        <v>46105.45658564815</v>
      </c>
      <c r="O18" s="14">
        <v>46127.458333333336</v>
      </c>
      <c r="P18" s="14" cm="1" t="n">
        <f t="array" ref="P18">IF(C18="","",IF(OR(O18="",O18=0),"-",O18))</f>
        <v>46127.458333333336</v>
      </c>
      <c r="Q18" s="15">
        <v>0</v>
      </c>
      <c r="R18" s="9" cm="1" t="str">
        <f t="array" ref="R18">IF(C18="","",ROUND(Q18/1000000,3)&amp;" M€")</f>
        <v>0 M€</v>
      </c>
      <c r="S18" s="16">
        <v>30</v>
      </c>
      <c r="T18" s="9" cm="1" t="str">
        <f t="array" ref="T18">IF(C18="","",SUBSTITUTE(S18,"","")&amp;"%")</f>
        <v>30%</v>
      </c>
      <c r="U18" s="12" cm="1" t="str">
        <f t="array" ref="U18">IF(($N18="")*($P18=""),"",IF(($N18&lt;&gt;"")*($N18&gt;TODAY()-9)*($N18&lt;TODAY()+1)*($P18&lt;&gt;"")*($P18&gt;=TODAY())*($P18&lt;=TODAY()+13),"Semaine passée &amp; à venir",IF(($N18&lt;&gt;"")*($N18&gt;TODAY()-9)*($N18&lt;TODAY()+1),"Semaine passée",IF(($P18&lt;&gt;"")*($P18&gt;=TODAY())*($P18&lt;=TODAY()+13),"À venir","Autre"))))</f>
        <v>À venir</v>
      </c>
      <c r="V18" cm="1" t="n">
        <f t="array" ref="V18">IF(C18&lt;&gt;"",1,0)</f>
        <v>1</v>
      </c>
    </row>
    <row r="19" ht="78.75" customHeight="1">
      <c r="A19" s="9" t="s">
        <v>23</v>
      </c>
      <c r="B19" s="9" t="s">
        <v>40</v>
      </c>
      <c r="C19" s="10" t="s">
        <v>75</v>
      </c>
      <c r="D19" s="11" t="s">
        <v>76</v>
      </c>
      <c r="E19" s="9" t="s">
        <v>26</v>
      </c>
      <c r="F19" s="13" t="s">
        <v>77</v>
      </c>
      <c r="G19" s="12" cm="1" t="str">
        <f t="array" ref="G19">IF(F19="","",SUBSTITUTE(SUBSTITUTE(SUBSTITUTE(SUBSTITUTE(F19,"&lt;li&gt;",CHAR(10)),"&lt;/li&gt;",""),"&lt;br&gt;",CHAR(10)),"&lt;strong&gt;",""))</f>
        <v>&lt;p&gt;03/02/2026: Info clients remploi et Aj Géodesic en cours. Nouvelle piste créée pour équipe Ventes. Pas d'autres échanges ou actions récentes identifiés. Prochaines étapes non précisées, aucun retour explicite des prospects sur les fonds présentés. Suivi à actualiser selon prochaines interactions.&lt;/p&gt;</v>
      </c>
      <c r="H19" s="12" cm="1" t="str">
        <f t="array" ref="H19">IF(G19="","",SUBSTITUTE(SUBSTITUTE(SUBSTITUTE(SUBSTITUTE(SUBSTITUTE(G19,"&lt;p&gt;",""),"&lt;/p&gt;",""),"&lt;ul&gt;",""),"&lt;/ul&gt;",""),"&lt;/strong&gt;",""))</f>
        <v>03/02/2026: Info clients remploi et Aj Géodesic en cours. Nouvelle piste créée pour équipe Ventes. Pas d'autres échanges ou actions récentes identifiés. Prochaines étapes non précisées, aucun retour explicite des prospects sur les fonds présentés. Suivi à actualiser selon prochaines interactions.</v>
      </c>
      <c r="I19" s="12" cm="1" t="str">
        <f t="array" ref="I19">IF(C19="","",IF(OR(H19="",H19=0,H19=FALSE),"-",H19))</f>
        <v>03/02/2026: Info clients remploi et Aj Géodesic en cours. Nouvelle piste créée pour équipe Ventes. Pas d'autres échanges ou actions récentes identifiés. Prochaines étapes non précisées, aucun retour explicite des prospects sur les fonds présentés. Suivi à actualiser selon prochaines interactions.</v>
      </c>
      <c r="J19" s="13">
</c>
      <c r="K19" s="9" t="s">
        <v>46</v>
      </c>
      <c r="L19" s="9" cm="1" t="str">
        <f t="array" ref="L19">IF(C19="","",IF(K19="Mort / Plus rien à faire","KO","OK"))</f>
        <v>OK</v>
      </c>
      <c r="M19" s="14">
        <v>46069.51399305555</v>
      </c>
      <c r="N19" s="14" cm="1" t="n">
        <f t="array" ref="N19">IF(OR(C19="",M19="",M19=0),"",M19)</f>
        <v>46069.51399305555</v>
      </c>
      <c r="O19" s="14">
</c>
      <c r="P19" s="14" cm="1" t="str">
        <f t="array" ref="P19">IF(C19="","",IF(OR(O19="",O19=0),"-",O19))</f>
        <v>-</v>
      </c>
      <c r="Q19" s="15">
        <v>0</v>
      </c>
      <c r="R19" s="9" cm="1" t="str">
        <f t="array" ref="R19">IF(C19="","",ROUND(Q19/1000000,3)&amp;" M€")</f>
        <v>0 M€</v>
      </c>
      <c r="S19" s="16">
        <v>20</v>
      </c>
      <c r="T19" s="9" cm="1" t="str">
        <f t="array" ref="T19">IF(C19="","",SUBSTITUTE(S19,"","")&amp;"%")</f>
        <v>20%</v>
      </c>
      <c r="U19" s="12" cm="1" t="str">
        <f t="array" ref="U19">IF(($N19="")*($P19=""),"",IF(($N19&lt;&gt;"")*($N19&gt;TODAY()-9)*($N19&lt;TODAY()+1)*($P19&lt;&gt;"")*($P19&gt;=TODAY())*($P19&lt;=TODAY()+13),"Semaine passée &amp; à venir",IF(($N19&lt;&gt;"")*($N19&gt;TODAY()-9)*($N19&lt;TODAY()+1),"Semaine passée",IF(($P19&lt;&gt;"")*($P19&gt;=TODAY())*($P19&lt;=TODAY()+13),"À venir","Autre"))))</f>
        <v>Autre</v>
      </c>
      <c r="V19" cm="1" t="n">
        <f t="array" ref="V19">IF(C19&lt;&gt;"",1,0)</f>
        <v>1</v>
      </c>
    </row>
    <row r="20" ht="78.75" customHeight="1">
      <c r="A20" s="9" t="s">
        <v>23</v>
      </c>
      <c r="B20" s="9" t="s">
        <v>40</v>
      </c>
      <c r="C20" s="10" t="s">
        <v>78</v>
      </c>
      <c r="D20" s="11" t="s">
        <v>79</v>
      </c>
      <c r="E20" s="9" t="s">
        <v>26</v>
      </c>
      <c r="F20" s="13" t="s">
        <v>80</v>
      </c>
      <c r="G20" s="12" cm="1" t="str">
        <f t="array" ref="G20">IF(F20="","",SUBSTITUTE(SUBSTITUTE(SUBSTITUTE(SUBSTITUTE(F20,"&lt;li&gt;",CHAR(10)),"&lt;/li&gt;",""),"&lt;br&gt;",CHAR(10)),"&lt;strong&gt;",""))</f>
        <v>&lt;p&gt;04/02 prospect a un client potentiellement intéressé, retour attendu mi-février. Lead enrichissement impossible (email invalide). Nouvelle piste créée pour équipe Ventes. Pas d'autres actions ou retours prospect sur fonds présentés. Prochaine étape : confirmation client mi-février.&lt;/p&gt;</v>
      </c>
      <c r="H20" s="12" cm="1" t="str">
        <f t="array" ref="H20">IF(G20="","",SUBSTITUTE(SUBSTITUTE(SUBSTITUTE(SUBSTITUTE(SUBSTITUTE(G20,"&lt;p&gt;",""),"&lt;/p&gt;",""),"&lt;ul&gt;",""),"&lt;/ul&gt;",""),"&lt;/strong&gt;",""))</f>
        <v>04/02 prospect a un client potentiellement intéressé, retour attendu mi-février. Lead enrichissement impossible (email invalide). Nouvelle piste créée pour équipe Ventes. Pas d'autres actions ou retours prospect sur fonds présentés. Prochaine étape : confirmation client mi-février.</v>
      </c>
      <c r="I20" s="12" cm="1" t="str">
        <f t="array" ref="I20">IF(C20="","",IF(OR(H20="",H20=0,H20=FALSE),"-",H20))</f>
        <v>04/02 prospect a un client potentiellement intéressé, retour attendu mi-février. Lead enrichissement impossible (email invalide). Nouvelle piste créée pour équipe Ventes. Pas d'autres actions ou retours prospect sur fonds présentés. Prochaine étape : confirmation client mi-février.</v>
      </c>
      <c r="J20" s="13">
</c>
      <c r="K20" s="9" t="s">
        <v>46</v>
      </c>
      <c r="L20" s="9" cm="1" t="str">
        <f t="array" ref="L20">IF(C20="","",IF(K20="Mort / Plus rien à faire","KO","OK"))</f>
        <v>OK</v>
      </c>
      <c r="M20" s="14">
        <v>46063.50944444445</v>
      </c>
      <c r="N20" s="14" cm="1" t="n">
        <f t="array" ref="N20">IF(OR(C20="",M20="",M20=0),"",M20)</f>
        <v>46063.50944444445</v>
      </c>
      <c r="O20" s="14">
</c>
      <c r="P20" s="14" cm="1" t="str">
        <f t="array" ref="P20">IF(C20="","",IF(OR(O20="",O20=0),"-",O20))</f>
        <v>-</v>
      </c>
      <c r="Q20" s="15">
        <v>100000</v>
      </c>
      <c r="R20" s="9" cm="1" t="str">
        <f t="array" ref="R20">IF(C20="","",ROUND(Q20/1000000,3)&amp;" M€")</f>
        <v>0.1 M€</v>
      </c>
      <c r="S20" s="16">
        <v>20</v>
      </c>
      <c r="T20" s="9" cm="1" t="str">
        <f t="array" ref="T20">IF(C20="","",SUBSTITUTE(S20,"","")&amp;"%")</f>
        <v>20%</v>
      </c>
      <c r="U20" s="12" cm="1" t="str">
        <f t="array" ref="U20">IF(($N20="")*($P20=""),"",IF(($N20&lt;&gt;"")*($N20&gt;TODAY()-9)*($N20&lt;TODAY()+1)*($P20&lt;&gt;"")*($P20&gt;=TODAY())*($P20&lt;=TODAY()+13),"Semaine passée &amp; à venir",IF(($N20&lt;&gt;"")*($N20&gt;TODAY()-9)*($N20&lt;TODAY()+1),"Semaine passée",IF(($P20&lt;&gt;"")*($P20&gt;=TODAY())*($P20&lt;=TODAY()+13),"À venir","Autre"))))</f>
        <v>Autre</v>
      </c>
      <c r="V20" cm="1" t="n">
        <f t="array" ref="V20">IF(C20&lt;&gt;"",1,0)</f>
        <v>1</v>
      </c>
    </row>
    <row r="21" ht="78.75" customHeight="1">
      <c r="A21" s="9" t="s">
        <v>23</v>
      </c>
      <c r="B21" s="9" t="s">
        <v>29</v>
      </c>
      <c r="C21" s="10" t="s">
        <v>81</v>
      </c>
      <c r="D21" s="11" t="s">
        <v>82</v>
      </c>
      <c r="E21" s="9" t="s">
        <v>26</v>
      </c>
      <c r="F21" s="13" t="s">
        <v>83</v>
      </c>
      <c r="G21" s="12" cm="1" t="str">
        <f t="array" ref="G21">IF(F21="","",SUBSTITUTE(SUBSTITUTE(SUBSTITUTE(SUBSTITUTE(F21,"&lt;li&gt;",CHAR(10)),"&lt;/li&gt;",""),"&lt;br&gt;",CHAR(10)),"&lt;strong&gt;",""))</f>
        <v>&lt;p&gt;09/02 point PTF C2 avec Thomas. Lead créé pour équipe Ventes. Tentative d'enrichissement échouée (email invalide). Aucune activité ou action complémentaire enregistrée, prochaines étapes non précisées. Pas de retour prospect ni de conclusion sur fonds présentés.&lt;/p&gt;</v>
      </c>
      <c r="H21" s="12" cm="1" t="str">
        <f t="array" ref="H21">IF(G21="","",SUBSTITUTE(SUBSTITUTE(SUBSTITUTE(SUBSTITUTE(SUBSTITUTE(G21,"&lt;p&gt;",""),"&lt;/p&gt;",""),"&lt;ul&gt;",""),"&lt;/ul&gt;",""),"&lt;/strong&gt;",""))</f>
        <v>09/02 point PTF C2 avec Thomas. Lead créé pour équipe Ventes. Tentative d'enrichissement échouée (email invalide). Aucune activité ou action complémentaire enregistrée, prochaines étapes non précisées. Pas de retour prospect ni de conclusion sur fonds présentés.</v>
      </c>
      <c r="I21" s="12" cm="1" t="str">
        <f t="array" ref="I21">IF(C21="","",IF(OR(H21="",H21=0,H21=FALSE),"-",H21))</f>
        <v>09/02 point PTF C2 avec Thomas. Lead créé pour équipe Ventes. Tentative d'enrichissement échouée (email invalide). Aucune activité ou action complémentaire enregistrée, prochaines étapes non précisées. Pas de retour prospect ni de conclusion sur fonds présentés.</v>
      </c>
      <c r="J21" s="13">
</c>
      <c r="K21" s="9" t="s">
        <v>46</v>
      </c>
      <c r="L21" s="9" cm="1" t="str">
        <f t="array" ref="L21">IF(C21="","",IF(K21="Mort / Plus rien à faire","KO","OK"))</f>
        <v>OK</v>
      </c>
      <c r="M21" s="14">
        <v>46063.59043981481</v>
      </c>
      <c r="N21" s="14" cm="1" t="n">
        <f t="array" ref="N21">IF(OR(C21="",M21="",M21=0),"",M21)</f>
        <v>46063.59043981481</v>
      </c>
      <c r="O21" s="14">
</c>
      <c r="P21" s="14" cm="1" t="str">
        <f t="array" ref="P21">IF(C21="","",IF(OR(O21="",O21=0),"-",O21))</f>
        <v>-</v>
      </c>
      <c r="Q21" s="15">
        <v>0</v>
      </c>
      <c r="R21" s="9" cm="1" t="str">
        <f t="array" ref="R21">IF(C21="","",ROUND(Q21/1000000,3)&amp;" M€")</f>
        <v>0 M€</v>
      </c>
      <c r="S21" s="16">
        <v>20</v>
      </c>
      <c r="T21" s="9" cm="1" t="str">
        <f t="array" ref="T21">IF(C21="","",SUBSTITUTE(S21,"","")&amp;"%")</f>
        <v>20%</v>
      </c>
      <c r="U21" s="12" cm="1" t="str">
        <f t="array" ref="U21">IF(($N21="")*($P21=""),"",IF(($N21&lt;&gt;"")*($N21&gt;TODAY()-9)*($N21&lt;TODAY()+1)*($P21&lt;&gt;"")*($P21&gt;=TODAY())*($P21&lt;=TODAY()+13),"Semaine passée &amp; à venir",IF(($N21&lt;&gt;"")*($N21&gt;TODAY()-9)*($N21&lt;TODAY()+1),"Semaine passée",IF(($P21&lt;&gt;"")*($P21&gt;=TODAY())*($P21&lt;=TODAY()+13),"À venir","Autre"))))</f>
        <v>Autre</v>
      </c>
      <c r="V21" cm="1" t="n">
        <f t="array" ref="V21">IF(C21&lt;&gt;"",1,0)</f>
        <v>1</v>
      </c>
    </row>
    <row r="22" ht="78.75" customHeight="1">
      <c r="A22" s="9" t="s">
        <v>23</v>
      </c>
      <c r="B22" s="9" t="s">
        <v>84</v>
      </c>
      <c r="C22" s="10" t="s">
        <v>85</v>
      </c>
      <c r="D22" s="11" t="s">
        <v>86</v>
      </c>
      <c r="E22" s="9" t="s">
        <v>26</v>
      </c>
      <c r="F22" s="13" t="s">
        <v>87</v>
      </c>
      <c r="G22" s="12" cm="1" t="str">
        <f t="array" ref="G22">IF(F22="","",SUBSTITUTE(SUBSTITUTE(SUBSTITUTE(SUBSTITUTE(F22,"&lt;li&gt;",CHAR(10)),"&lt;/li&gt;",""),"&lt;br&gt;",CHAR(10)),"&lt;strong&gt;",""))</f>
        <v>&lt;p&gt;05/02/2026 : Infos transmises, clients potentiellement intéressés, attente confirmation pour fixer rencontre avec Charles. Enrichissement lead impossible (email non valide). Nouvelle piste créée équipe Ventes. Prochaine étape : attente retour client pour RDV.&lt;/p&gt;</v>
      </c>
      <c r="H22" s="12" cm="1" t="str">
        <f t="array" ref="H22">IF(G22="","",SUBSTITUTE(SUBSTITUTE(SUBSTITUTE(SUBSTITUTE(SUBSTITUTE(G22,"&lt;p&gt;",""),"&lt;/p&gt;",""),"&lt;ul&gt;",""),"&lt;/ul&gt;",""),"&lt;/strong&gt;",""))</f>
        <v>05/02/2026 : Infos transmises, clients potentiellement intéressés, attente confirmation pour fixer rencontre avec Charles. Enrichissement lead impossible (email non valide). Nouvelle piste créée équipe Ventes. Prochaine étape : attente retour client pour RDV.</v>
      </c>
      <c r="I22" s="12" cm="1" t="str">
        <f t="array" ref="I22">IF(C22="","",IF(OR(H22="",H22=0,H22=FALSE),"-",H22))</f>
        <v>05/02/2026 : Infos transmises, clients potentiellement intéressés, attente confirmation pour fixer rencontre avec Charles. Enrichissement lead impossible (email non valide). Nouvelle piste créée équipe Ventes. Prochaine étape : attente retour client pour RDV.</v>
      </c>
      <c r="J22" s="13">
</c>
      <c r="K22" s="9" t="s">
        <v>46</v>
      </c>
      <c r="L22" s="9" cm="1" t="str">
        <f t="array" ref="L22">IF(C22="","",IF(K22="Mort / Plus rien à faire","KO","OK"))</f>
        <v>OK</v>
      </c>
      <c r="M22" s="14">
        <v>46063.515023148146</v>
      </c>
      <c r="N22" s="14" cm="1" t="n">
        <f t="array" ref="N22">IF(OR(C22="",M22="",M22=0),"",M22)</f>
        <v>46063.515023148146</v>
      </c>
      <c r="O22" s="14">
</c>
      <c r="P22" s="14" cm="1" t="str">
        <f t="array" ref="P22">IF(C22="","",IF(OR(O22="",O22=0),"-",O22))</f>
        <v>-</v>
      </c>
      <c r="Q22" s="15">
        <v>0</v>
      </c>
      <c r="R22" s="9" cm="1" t="str">
        <f t="array" ref="R22">IF(C22="","",ROUND(Q22/1000000,3)&amp;" M€")</f>
        <v>0 M€</v>
      </c>
      <c r="S22" s="16">
        <v>20</v>
      </c>
      <c r="T22" s="9" cm="1" t="str">
        <f t="array" ref="T22">IF(C22="","",SUBSTITUTE(S22,"","")&amp;"%")</f>
        <v>20%</v>
      </c>
      <c r="U22" s="12" cm="1" t="str">
        <f t="array" ref="U22">IF(($N22="")*($P22=""),"",IF(($N22&lt;&gt;"")*($N22&gt;TODAY()-9)*($N22&lt;TODAY()+1)*($P22&lt;&gt;"")*($P22&gt;=TODAY())*($P22&lt;=TODAY()+13),"Semaine passée &amp; à venir",IF(($N22&lt;&gt;"")*($N22&gt;TODAY()-9)*($N22&lt;TODAY()+1),"Semaine passée",IF(($P22&lt;&gt;"")*($P22&gt;=TODAY())*($P22&lt;=TODAY()+13),"À venir","Autre"))))</f>
        <v>Autre</v>
      </c>
      <c r="V22" cm="1" t="n">
        <f t="array" ref="V22">IF(C22&lt;&gt;"",1,0)</f>
        <v>1</v>
      </c>
    </row>
    <row r="23" ht="78.75" customHeight="1">
      <c r="A23" s="9" t="s">
        <v>23</v>
      </c>
      <c r="B23" s="9" t="s">
        <v>40</v>
      </c>
      <c r="C23" s="10" t="s">
        <v>88</v>
      </c>
      <c r="D23" s="11" t="s">
        <v>89</v>
      </c>
      <c r="E23" s="9" t="s">
        <v>26</v>
      </c>
      <c r="F23" s="13" t="s">
        <v>90</v>
      </c>
      <c r="G23" s="12" cm="1" t="str">
        <f t="array" ref="G23">IF(F23="","",SUBSTITUTE(SUBSTITUTE(SUBSTITUTE(SUBSTITUTE(F23,"&lt;li&gt;",CHAR(10)),"&lt;/li&gt;",""),"&lt;br&gt;",CHAR(10)),"&lt;strong&gt;",""))</f>
        <v>&lt;p&gt;Intérêt fort confirmé pour nos stratégies diversification/remploi, partenariat long envisagé après screening complet d'Audacia. Accord de principe pour fonds remploi, conditions financières à préparer. Dernière action&amp;nbsp;: message laissé pour suivi convention partenaire le 27/03. Prochaine étape&amp;nbsp;: attendre retour partenaire.&lt;/p&gt;</v>
      </c>
      <c r="H23" s="12" cm="1" t="str">
        <f t="array" ref="H23">IF(G23="","",SUBSTITUTE(SUBSTITUTE(SUBSTITUTE(SUBSTITUTE(SUBSTITUTE(G23,"&lt;p&gt;",""),"&lt;/p&gt;",""),"&lt;ul&gt;",""),"&lt;/ul&gt;",""),"&lt;/strong&gt;",""))</f>
        <v>Intérêt fort confirmé pour nos stratégies diversification/remploi, partenariat long envisagé après screening complet d'Audacia. Accord de principe pour fonds remploi, conditions financières à préparer. Dernière action&amp;nbsp;: message laissé pour suivi convention partenaire le 27/03. Prochaine étape&amp;nbsp;: attendre retour partenaire.</v>
      </c>
      <c r="I23" s="12" cm="1" t="str">
        <f t="array" ref="I23">IF(C23="","",IF(OR(H23="",H23=0,H23=FALSE),"-",H23))</f>
        <v>Intérêt fort confirmé pour nos stratégies diversification/remploi, partenariat long envisagé après screening complet d'Audacia. Accord de principe pour fonds remploi, conditions financières à préparer. Dernière action&amp;nbsp;: message laissé pour suivi convention partenaire le 27/03. Prochaine étape&amp;nbsp;: attendre retour partenaire.</v>
      </c>
      <c r="J23" s="13">
</c>
      <c r="K23" s="9" t="s">
        <v>46</v>
      </c>
      <c r="L23" s="9" cm="1" t="str">
        <f t="array" ref="L23">IF(C23="","",IF(K23="Mort / Plus rien à faire","KO","OK"))</f>
        <v>OK</v>
      </c>
      <c r="M23" s="14">
        <v>46108.696921296294</v>
      </c>
      <c r="N23" s="14" cm="1" t="n">
        <f t="array" ref="N23">IF(OR(C23="",M23="",M23=0),"",M23)</f>
        <v>46108.696921296294</v>
      </c>
      <c r="O23" s="14">
</c>
      <c r="P23" s="14" cm="1" t="str">
        <f t="array" ref="P23">IF(C23="","",IF(OR(O23="",O23=0),"-",O23))</f>
        <v>-</v>
      </c>
      <c r="Q23" s="15">
        <v>0</v>
      </c>
      <c r="R23" s="9" cm="1" t="str">
        <f t="array" ref="R23">IF(C23="","",ROUND(Q23/1000000,3)&amp;" M€")</f>
        <v>0 M€</v>
      </c>
      <c r="S23" s="16">
        <v>20</v>
      </c>
      <c r="T23" s="9" cm="1" t="str">
        <f t="array" ref="T23">IF(C23="","",SUBSTITUTE(S23,"","")&amp;"%")</f>
        <v>20%</v>
      </c>
      <c r="U23" s="12" cm="1" t="str">
        <f t="array" ref="U23">IF(($N23="")*($P23=""),"",IF(($N23&lt;&gt;"")*($N23&gt;TODAY()-9)*($N23&lt;TODAY()+1)*($P23&lt;&gt;"")*($P23&gt;=TODAY())*($P23&lt;=TODAY()+13),"Semaine passée &amp; à venir",IF(($N23&lt;&gt;"")*($N23&gt;TODAY()-9)*($N23&lt;TODAY()+1),"Semaine passée",IF(($P23&lt;&gt;"")*($P23&gt;=TODAY())*($P23&lt;=TODAY()+13),"À venir","Autre"))))</f>
        <v>Semaine passée</v>
      </c>
      <c r="V23" cm="1" t="n">
        <f t="array" ref="V23">IF(C23&lt;&gt;"",1,0)</f>
        <v>1</v>
      </c>
    </row>
    <row r="24" ht="78.75" customHeight="1">
      <c r="A24" s="9" t="s">
        <v>23</v>
      </c>
      <c r="B24" s="9" t="s">
        <v>29</v>
      </c>
      <c r="C24" s="10" t="s">
        <v>91</v>
      </c>
      <c r="D24" s="11" t="s">
        <v>92</v>
      </c>
      <c r="E24" s="9" t="s">
        <v>26</v>
      </c>
      <c r="F24" s="13" t="s">
        <v>93</v>
      </c>
      <c r="G24" s="12" cm="1" t="str">
        <f t="array" ref="G24">IF(F24="","",SUBSTITUTE(SUBSTITUTE(SUBSTITUTE(SUBSTITUTE(F24,"&lt;li&gt;",CHAR(10)),"&lt;/li&gt;",""),"&lt;br&gt;",CHAR(10)),"&lt;strong&gt;",""))</f>
        <v>&lt;p&gt;04/02 : info actus et ak transmises, clients potentiellement intéressés, attente confirmation. Enrichissement lead impossible (email non valide). Nouvelle piste créée pour équipe Ventes. Pas d'autres actions ou retours prospects à ce stade, prochaine étape : retour client attendu.&lt;/p&gt;</v>
      </c>
      <c r="H24" s="12" cm="1" t="str">
        <f t="array" ref="H24">IF(G24="","",SUBSTITUTE(SUBSTITUTE(SUBSTITUTE(SUBSTITUTE(SUBSTITUTE(G24,"&lt;p&gt;",""),"&lt;/p&gt;",""),"&lt;ul&gt;",""),"&lt;/ul&gt;",""),"&lt;/strong&gt;",""))</f>
        <v>04/02 : info actus et ak transmises, clients potentiellement intéressés, attente confirmation. Enrichissement lead impossible (email non valide). Nouvelle piste créée pour équipe Ventes. Pas d'autres actions ou retours prospects à ce stade, prochaine étape : retour client attendu.</v>
      </c>
      <c r="I24" s="12" cm="1" t="str">
        <f t="array" ref="I24">IF(C24="","",IF(OR(H24="",H24=0,H24=FALSE),"-",H24))</f>
        <v>04/02 : info actus et ak transmises, clients potentiellement intéressés, attente confirmation. Enrichissement lead impossible (email non valide). Nouvelle piste créée pour équipe Ventes. Pas d'autres actions ou retours prospects à ce stade, prochaine étape : retour client attendu.</v>
      </c>
      <c r="J24" s="13">
</c>
      <c r="K24" s="9" t="s">
        <v>62</v>
      </c>
      <c r="L24" s="9" cm="1" t="str">
        <f t="array" ref="L24">IF(C24="","",IF(K24="Mort / Plus rien à faire","KO","OK"))</f>
        <v>OK</v>
      </c>
      <c r="M24" s="14">
        <v>46063.51189814815</v>
      </c>
      <c r="N24" s="14" cm="1" t="n">
        <f t="array" ref="N24">IF(OR(C24="",M24="",M24=0),"",M24)</f>
        <v>46063.51189814815</v>
      </c>
      <c r="O24" s="14">
</c>
      <c r="P24" s="14" cm="1" t="str">
        <f t="array" ref="P24">IF(C24="","",IF(OR(O24="",O24=0),"-",O24))</f>
        <v>-</v>
      </c>
      <c r="Q24" s="15">
        <v>100000</v>
      </c>
      <c r="R24" s="9" cm="1" t="str">
        <f t="array" ref="R24">IF(C24="","",ROUND(Q24/1000000,3)&amp;" M€")</f>
        <v>0.1 M€</v>
      </c>
      <c r="S24" s="16">
        <v>20</v>
      </c>
      <c r="T24" s="9" cm="1" t="str">
        <f t="array" ref="T24">IF(C24="","",SUBSTITUTE(S24,"","")&amp;"%")</f>
        <v>20%</v>
      </c>
      <c r="U24" s="12" cm="1" t="str">
        <f t="array" ref="U24">IF(($N24="")*($P24=""),"",IF(($N24&lt;&gt;"")*($N24&gt;TODAY()-9)*($N24&lt;TODAY()+1)*($P24&lt;&gt;"")*($P24&gt;=TODAY())*($P24&lt;=TODAY()+13),"Semaine passée &amp; à venir",IF(($N24&lt;&gt;"")*($N24&gt;TODAY()-9)*($N24&lt;TODAY()+1),"Semaine passée",IF(($P24&lt;&gt;"")*($P24&gt;=TODAY())*($P24&lt;=TODAY()+13),"À venir","Autre"))))</f>
        <v>Autre</v>
      </c>
      <c r="V24" cm="1" t="n">
        <f t="array" ref="V24">IF(C24&lt;&gt;"",1,0)</f>
        <v>1</v>
      </c>
    </row>
    <row r="25" ht="78.75" customHeight="1">
      <c r="A25" s="9" t="s">
        <v>23</v>
      </c>
      <c r="B25" s="9" t="s">
        <v>94</v>
      </c>
      <c r="C25" s="10" t="s">
        <v>95</v>
      </c>
      <c r="D25" s="11" t="s">
        <v>96</v>
      </c>
      <c r="E25" s="9" t="s">
        <v>59</v>
      </c>
      <c r="F25" s="13" t="s">
        <v>97</v>
      </c>
      <c r="G25" s="12" cm="1" t="str">
        <f t="array" ref="G25">IF(F25="","",SUBSTITUTE(SUBSTITUTE(SUBSTITUTE(SUBSTITUTE(F25,"&lt;li&gt;",CHAR(10)),"&lt;/li&gt;",""),"&lt;br&gt;",CHAR(10)),"&lt;strong&gt;",""))</f>
        <v>&lt;p&gt;RDV physique 20/02 : échanges avec Agnes Berri et Marc Ramilison sur DPI, fonds 1/2, capacité d'investir 1M€ en S2 2026, exit 20M€ best case, pas d'équalisation ni carried, intérêt pour deck/doc, tech appréciée. En attente retour suite envoi docs/réponses. Prochaine étape : retour GEODESIC, capacité juin.&lt;/p&gt;</v>
      </c>
      <c r="H25" s="12" cm="1" t="str">
        <f t="array" ref="H25">IF(G25="","",SUBSTITUTE(SUBSTITUTE(SUBSTITUTE(SUBSTITUTE(SUBSTITUTE(G25,"&lt;p&gt;",""),"&lt;/p&gt;",""),"&lt;ul&gt;",""),"&lt;/ul&gt;",""),"&lt;/strong&gt;",""))</f>
        <v>RDV physique 20/02 : échanges avec Agnes Berri et Marc Ramilison sur DPI, fonds 1/2, capacité d'investir 1M€ en S2 2026, exit 20M€ best case, pas d'équalisation ni carried, intérêt pour deck/doc, tech appréciée. En attente retour suite envoi docs/réponses. Prochaine étape : retour GEODESIC, capacité juin.</v>
      </c>
      <c r="I25" s="12" cm="1" t="str">
        <f t="array" ref="I25">IF(C25="","",IF(OR(H25="",H25=0,H25=FALSE),"-",H25))</f>
        <v>RDV physique 20/02 : échanges avec Agnes Berri et Marc Ramilison sur DPI, fonds 1/2, capacité d'investir 1M€ en S2 2026, exit 20M€ best case, pas d'équalisation ni carried, intérêt pour deck/doc, tech appréciée. En attente retour suite envoi docs/réponses. Prochaine étape : retour GEODESIC, capacité juin.</v>
      </c>
      <c r="J25" s="13" t="s">
        <v>98</v>
      </c>
      <c r="K25" s="9" t="s">
        <v>46</v>
      </c>
      <c r="L25" s="9" cm="1" t="str">
        <f t="array" ref="L25">IF(C25="","",IF(K25="Mort / Plus rien à faire","KO","OK"))</f>
        <v>OK</v>
      </c>
      <c r="M25" s="14">
        <v>46085.645891203705</v>
      </c>
      <c r="N25" s="14" cm="1" t="n">
        <f t="array" ref="N25">IF(OR(C25="",M25="",M25=0),"",M25)</f>
        <v>46085.645891203705</v>
      </c>
      <c r="O25" s="14">
        <v>46121.083333333336</v>
      </c>
      <c r="P25" s="14" cm="1" t="n">
        <f t="array" ref="P25">IF(C25="","",IF(OR(O25="",O25=0),"-",O25))</f>
        <v>46121.083333333336</v>
      </c>
      <c r="Q25" s="15">
        <v>0</v>
      </c>
      <c r="R25" s="9" cm="1" t="str">
        <f t="array" ref="R25">IF(C25="","",ROUND(Q25/1000000,3)&amp;" M€")</f>
        <v>0 M€</v>
      </c>
      <c r="S25" s="16">
        <v>20</v>
      </c>
      <c r="T25" s="9" cm="1" t="str">
        <f t="array" ref="T25">IF(C25="","",SUBSTITUTE(S25,"","")&amp;"%")</f>
        <v>20%</v>
      </c>
      <c r="U25" s="12" cm="1" t="str">
        <f t="array" ref="U25">IF(($N25="")*($P25=""),"",IF(($N25&lt;&gt;"")*($N25&gt;TODAY()-9)*($N25&lt;TODAY()+1)*($P25&lt;&gt;"")*($P25&gt;=TODAY())*($P25&lt;=TODAY()+13),"Semaine passée &amp; à venir",IF(($N25&lt;&gt;"")*($N25&gt;TODAY()-9)*($N25&lt;TODAY()+1),"Semaine passée",IF(($P25&lt;&gt;"")*($P25&gt;=TODAY())*($P25&lt;=TODAY()+13),"À venir","Autre"))))</f>
        <v>À venir</v>
      </c>
      <c r="V25" cm="1" t="n">
        <f t="array" ref="V25">IF(C25&lt;&gt;"",1,0)</f>
        <v>1</v>
      </c>
    </row>
    <row r="26" ht="78.75" customHeight="1">
      <c r="A26" s="9" t="s">
        <v>23</v>
      </c>
      <c r="B26" s="9" t="s">
        <v>99</v>
      </c>
      <c r="C26" s="10" t="s">
        <v>100</v>
      </c>
      <c r="D26" s="11" t="s">
        <v>101</v>
      </c>
      <c r="E26" s="9" t="s">
        <v>59</v>
      </c>
      <c r="F26" s="13" t="s">
        <v>102</v>
      </c>
      <c r="G26" s="12" cm="1" t="str">
        <f t="array" ref="G26">IF(F26="","",SUBSTITUTE(SUBSTITUTE(SUBSTITUTE(SUBSTITUTE(F26,"&lt;li&gt;",CHAR(10)),"&lt;/li&gt;",""),"&lt;br&gt;",CHAR(10)),"&lt;strong&gt;",""))</f>
        <v>&lt;p&gt;Déjeuner le 10/03 avec edilia.gaenz@fedora-circle.com (dossier Cérélia) pour échange fonds de fonds. Action menée par Romain Andrieu. Prochaine étape : relancer Stephane sur la partie fonds de fonds avant le 20/03. Pas de retour prospect sur fonds présentés à ce stade.&lt;/p&gt;</v>
      </c>
      <c r="H26" s="12" cm="1" t="str">
        <f t="array" ref="H26">IF(G26="","",SUBSTITUTE(SUBSTITUTE(SUBSTITUTE(SUBSTITUTE(SUBSTITUTE(G26,"&lt;p&gt;",""),"&lt;/p&gt;",""),"&lt;ul&gt;",""),"&lt;/ul&gt;",""),"&lt;/strong&gt;",""))</f>
        <v>Déjeuner le 10/03 avec edilia.gaenz@fedora-circle.com (dossier Cérélia) pour échange fonds de fonds. Action menée par Romain Andrieu. Prochaine étape : relancer Stephane sur la partie fonds de fonds avant le 20/03. Pas de retour prospect sur fonds présentés à ce stade.</v>
      </c>
      <c r="I26" s="12" cm="1" t="str">
        <f t="array" ref="I26">IF(C26="","",IF(OR(H26="",H26=0,H26=FALSE),"-",H26))</f>
        <v>Déjeuner le 10/03 avec edilia.gaenz@fedora-circle.com (dossier Cérélia) pour échange fonds de fonds. Action menée par Romain Andrieu. Prochaine étape : relancer Stephane sur la partie fonds de fonds avant le 20/03. Pas de retour prospect sur fonds présentés à ce stade.</v>
      </c>
      <c r="J26" s="13" t="s">
        <v>103</v>
      </c>
      <c r="K26" s="9" t="s">
        <v>62</v>
      </c>
      <c r="L26" s="9" cm="1" t="str">
        <f t="array" ref="L26">IF(C26="","",IF(K26="Mort / Plus rien à faire","KO","OK"))</f>
        <v>OK</v>
      </c>
      <c r="M26" s="14">
        <v>46094.46056712963</v>
      </c>
      <c r="N26" s="14" cm="1" t="n">
        <f t="array" ref="N26">IF(OR(C26="",M26="",M26=0),"",M26)</f>
        <v>46094.46056712963</v>
      </c>
      <c r="O26" s="14">
</c>
      <c r="P26" s="14" cm="1" t="str">
        <f t="array" ref="P26">IF(C26="","",IF(OR(O26="",O26=0),"-",O26))</f>
        <v>-</v>
      </c>
      <c r="Q26" s="15">
        <v>0</v>
      </c>
      <c r="R26" s="9" cm="1" t="str">
        <f t="array" ref="R26">IF(C26="","",ROUND(Q26/1000000,3)&amp;" M€")</f>
        <v>0 M€</v>
      </c>
      <c r="S26" s="16">
        <v>10</v>
      </c>
      <c r="T26" s="9" cm="1" t="str">
        <f t="array" ref="T26">IF(C26="","",SUBSTITUTE(S26,"","")&amp;"%")</f>
        <v>10%</v>
      </c>
      <c r="U26" s="12" cm="1" t="str">
        <f t="array" ref="U26">IF(($N26="")*($P26=""),"",IF(($N26&lt;&gt;"")*($N26&gt;TODAY()-9)*($N26&lt;TODAY()+1)*($P26&lt;&gt;"")*($P26&gt;=TODAY())*($P26&lt;=TODAY()+13),"Semaine passée &amp; à venir",IF(($N26&lt;&gt;"")*($N26&gt;TODAY()-9)*($N26&lt;TODAY()+1),"Semaine passée",IF(($P26&lt;&gt;"")*($P26&gt;=TODAY())*($P26&lt;=TODAY()+13),"À venir","Autre"))))</f>
        <v>Autre</v>
      </c>
      <c r="V26" cm="1" t="n">
        <f t="array" ref="V26">IF(C26&lt;&gt;"",1,0)</f>
        <v>1</v>
      </c>
    </row>
    <row r="27" ht="78.75" customHeight="1">
      <c r="A27" s="9" t="s">
        <v>23</v>
      </c>
      <c r="B27" s="9" t="s">
        <v>40</v>
      </c>
      <c r="C27" s="10" t="s">
        <v>104</v>
      </c>
      <c r="D27" s="11" t="s">
        <v>105</v>
      </c>
      <c r="E27" s="9" t="s">
        <v>26</v>
      </c>
      <c r="F27" s="13" t="s">
        <v>106</v>
      </c>
      <c r="G27" s="12" cm="1" t="str">
        <f t="array" ref="G27">IF(F27="","",SUBSTITUTE(SUBSTITUTE(SUBSTITUTE(SUBSTITUTE(F27,"&lt;li&gt;",CHAR(10)),"&lt;/li&gt;",""),"&lt;br&gt;",CHAR(10)),"&lt;strong&gt;",""))</f>
        <v>&lt;p&gt;Piste OUTMATCH INVEST créée équipe Ventes 28/01. Intérêt souverain noté, pas d'autres échanges ou actions menées. Enrichissement lead impossible (email non valide). Aucune activité ni prochaine étape identifiée à ce jour, pas de retour prospect sur fonds présentés.&lt;/p&gt;</v>
      </c>
      <c r="H27" s="12" cm="1" t="str">
        <f t="array" ref="H27">IF(G27="","",SUBSTITUTE(SUBSTITUTE(SUBSTITUTE(SUBSTITUTE(SUBSTITUTE(G27,"&lt;p&gt;",""),"&lt;/p&gt;",""),"&lt;ul&gt;",""),"&lt;/ul&gt;",""),"&lt;/strong&gt;",""))</f>
        <v>Piste OUTMATCH INVEST créée équipe Ventes 28/01. Intérêt souverain noté, pas d'autres échanges ou actions menées. Enrichissement lead impossible (email non valide). Aucune activité ni prochaine étape identifiée à ce jour, pas de retour prospect sur fonds présentés.</v>
      </c>
      <c r="I27" s="12" cm="1" t="str">
        <f t="array" ref="I27">IF(C27="","",IF(OR(H27="",H27=0,H27=FALSE),"-",H27))</f>
        <v>Piste OUTMATCH INVEST créée équipe Ventes 28/01. Intérêt souverain noté, pas d'autres échanges ou actions menées. Enrichissement lead impossible (email non valide). Aucune activité ni prochaine étape identifiée à ce jour, pas de retour prospect sur fonds présentés.</v>
      </c>
      <c r="J27" s="13">
</c>
      <c r="K27" s="9" t="s">
        <v>46</v>
      </c>
      <c r="L27" s="9" cm="1" t="str">
        <f t="array" ref="L27">IF(C27="","",IF(K27="Mort / Plus rien à faire","KO","OK"))</f>
        <v>OK</v>
      </c>
      <c r="M27" s="14">
        <v>46050.68449074074</v>
      </c>
      <c r="N27" s="14" cm="1" t="n">
        <f t="array" ref="N27">IF(OR(C27="",M27="",M27=0),"",M27)</f>
        <v>46050.68449074074</v>
      </c>
      <c r="O27" s="14">
</c>
      <c r="P27" s="14" cm="1" t="str">
        <f t="array" ref="P27">IF(C27="","",IF(OR(O27="",O27=0),"-",O27))</f>
        <v>-</v>
      </c>
      <c r="Q27" s="15">
        <v>0</v>
      </c>
      <c r="R27" s="9" cm="1" t="str">
        <f t="array" ref="R27">IF(C27="","",ROUND(Q27/1000000,3)&amp;" M€")</f>
        <v>0 M€</v>
      </c>
      <c r="S27" s="16">
        <v>10</v>
      </c>
      <c r="T27" s="9" cm="1" t="str">
        <f t="array" ref="T27">IF(C27="","",SUBSTITUTE(S27,"","")&amp;"%")</f>
        <v>10%</v>
      </c>
      <c r="U27" s="12" cm="1" t="str">
        <f t="array" ref="U27">IF(($N27="")*($P27=""),"",IF(($N27&lt;&gt;"")*($N27&gt;TODAY()-9)*($N27&lt;TODAY()+1)*($P27&lt;&gt;"")*($P27&gt;=TODAY())*($P27&lt;=TODAY()+13),"Semaine passée &amp; à venir",IF(($N27&lt;&gt;"")*($N27&gt;TODAY()-9)*($N27&lt;TODAY()+1),"Semaine passée",IF(($P27&lt;&gt;"")*($P27&gt;=TODAY())*($P27&lt;=TODAY()+13),"À venir","Autre"))))</f>
        <v>Autre</v>
      </c>
      <c r="V27" cm="1" t="n">
        <f t="array" ref="V27">IF(C27&lt;&gt;"",1,0)</f>
        <v>1</v>
      </c>
    </row>
    <row r="28" ht="78.75" customHeight="1">
      <c r="A28" s="9" t="s">
        <v>23</v>
      </c>
      <c r="B28" s="9" t="s">
        <v>56</v>
      </c>
      <c r="C28" s="10" t="s">
        <v>107</v>
      </c>
      <c r="D28" s="11" t="s">
        <v>108</v>
      </c>
      <c r="E28" s="9" t="s">
        <v>59</v>
      </c>
      <c r="F28" s="13" t="s">
        <v>109</v>
      </c>
      <c r="G28" s="12" cm="1" t="str">
        <f t="array" ref="G28">IF(F28="","",SUBSTITUTE(SUBSTITUTE(SUBSTITUTE(SUBSTITUTE(F28,"&lt;li&gt;",CHAR(10)),"&lt;/li&gt;",""),"&lt;br&gt;",CHAR(10)),"&lt;strong&gt;",""))</f>
        <v>&lt;p&gt;RDV physique Lyon 07/02/2026, revue 360°, Florian pousse à agir en direct Lyon-Genève, référencement fonds jugé trop long. Action : caler RDV Lyon. Dernière relance faite, attente de réponse. Prochaine étape : suivre retour prospect, relance prévue, pas d'autres actions planifiées à ce jour.&lt;/p&gt;</v>
      </c>
      <c r="H28" s="12" cm="1" t="str">
        <f t="array" ref="H28">IF(G28="","",SUBSTITUTE(SUBSTITUTE(SUBSTITUTE(SUBSTITUTE(SUBSTITUTE(G28,"&lt;p&gt;",""),"&lt;/p&gt;",""),"&lt;ul&gt;",""),"&lt;/ul&gt;",""),"&lt;/strong&gt;",""))</f>
        <v>RDV physique Lyon 07/02/2026, revue 360°, Florian pousse à agir en direct Lyon-Genève, référencement fonds jugé trop long. Action : caler RDV Lyon. Dernière relance faite, attente de réponse. Prochaine étape : suivre retour prospect, relance prévue, pas d'autres actions planifiées à ce jour.</v>
      </c>
      <c r="I28" s="12" cm="1" t="str">
        <f t="array" ref="I28">IF(C28="","",IF(OR(H28="",H28=0,H28=FALSE),"-",H28))</f>
        <v>RDV physique Lyon 07/02/2026, revue 360°, Florian pousse à agir en direct Lyon-Genève, référencement fonds jugé trop long. Action : caler RDV Lyon. Dernière relance faite, attente de réponse. Prochaine étape : suivre retour prospect, relance prévue, pas d'autres actions planifiées à ce jour.</v>
      </c>
      <c r="J28" s="13" t="s">
        <v>110</v>
      </c>
      <c r="K28" s="9" t="s">
        <v>62</v>
      </c>
      <c r="L28" s="9" cm="1" t="str">
        <f t="array" ref="L28">IF(C28="","",IF(K28="Mort / Plus rien à faire","KO","OK"))</f>
        <v>OK</v>
      </c>
      <c r="M28" s="14">
        <v>46114.71658564815</v>
      </c>
      <c r="N28" s="14" cm="1" t="n">
        <f t="array" ref="N28">IF(OR(C28="",M28="",M28=0),"",M28)</f>
        <v>46114.71658564815</v>
      </c>
      <c r="O28" s="14">
        <v>46121.083333333336</v>
      </c>
      <c r="P28" s="14" cm="1" t="n">
        <f t="array" ref="P28">IF(C28="","",IF(OR(O28="",O28=0),"-",O28))</f>
        <v>46121.083333333336</v>
      </c>
      <c r="Q28" s="15">
        <v>0</v>
      </c>
      <c r="R28" s="9" cm="1" t="str">
        <f t="array" ref="R28">IF(C28="","",ROUND(Q28/1000000,3)&amp;" M€")</f>
        <v>0 M€</v>
      </c>
      <c r="S28" s="16">
        <v>10</v>
      </c>
      <c r="T28" s="9" cm="1" t="str">
        <f t="array" ref="T28">IF(C28="","",SUBSTITUTE(S28,"","")&amp;"%")</f>
        <v>10%</v>
      </c>
      <c r="U28" s="12" cm="1" t="str">
        <f t="array" ref="U28">IF(($N28="")*($P28=""),"",IF(($N28&lt;&gt;"")*($N28&gt;TODAY()-9)*($N28&lt;TODAY()+1)*($P28&lt;&gt;"")*($P28&gt;=TODAY())*($P28&lt;=TODAY()+13),"Semaine passée &amp; à venir",IF(($N28&lt;&gt;"")*($N28&gt;TODAY()-9)*($N28&lt;TODAY()+1),"Semaine passée",IF(($P28&lt;&gt;"")*($P28&gt;=TODAY())*($P28&lt;=TODAY()+13),"À venir","Autre"))))</f>
        <v>Semaine passée &amp; à venir</v>
      </c>
      <c r="V28" cm="1" t="n">
        <f t="array" ref="V28">IF(C28&lt;&gt;"",1,0)</f>
        <v>1</v>
      </c>
    </row>
    <row r="29" ht="78.75" customHeight="1">
      <c r="A29" s="9" t="s">
        <v>23</v>
      </c>
      <c r="B29" s="9" t="s">
        <v>29</v>
      </c>
      <c r="C29" s="10" t="s">
        <v>111</v>
      </c>
      <c r="D29" s="11" t="s">
        <v>112</v>
      </c>
      <c r="E29" s="9" t="s">
        <v>65</v>
      </c>
      <c r="F29" s="13" t="s">
        <v>113</v>
      </c>
      <c r="G29" s="12" cm="1" t="str">
        <f t="array" ref="G29">IF(F29="","",SUBSTITUTE(SUBSTITUTE(SUBSTITUTE(SUBSTITUTE(F29,"&lt;li&gt;",CHAR(10)),"&lt;/li&gt;",""),"&lt;br&gt;",CHAR(10)),"&lt;strong&gt;",""))</f>
        <v>&lt;p&gt;Aucune activité menée sur le prospect. Société de gestion de fortune à Paris, intéressée par infos sur fonds éligibles 150 OB ter : C4 et Géodésic. Nouvelle piste créée pour équipe Ventes, pas d'échanges ou actions récentes enregistrées. Prochaines étapes à définir.&lt;/p&gt;</v>
      </c>
      <c r="H29" s="12" cm="1" t="str">
        <f t="array" ref="H29">IF(G29="","",SUBSTITUTE(SUBSTITUTE(SUBSTITUTE(SUBSTITUTE(SUBSTITUTE(G29,"&lt;p&gt;",""),"&lt;/p&gt;",""),"&lt;ul&gt;",""),"&lt;/ul&gt;",""),"&lt;/strong&gt;",""))</f>
        <v>Aucune activité menée sur le prospect. Société de gestion de fortune à Paris, intéressée par infos sur fonds éligibles 150 OB ter : C4 et Géodésic. Nouvelle piste créée pour équipe Ventes, pas d'échanges ou actions récentes enregistrées. Prochaines étapes à définir.</v>
      </c>
      <c r="I29" s="12" cm="1" t="str">
        <f t="array" ref="I29">IF(C29="","",IF(OR(H29="",H29=0,H29=FALSE),"-",H29))</f>
        <v>Aucune activité menée sur le prospect. Société de gestion de fortune à Paris, intéressée par infos sur fonds éligibles 150 OB ter : C4 et Géodésic. Nouvelle piste créée pour équipe Ventes, pas d'échanges ou actions récentes enregistrées. Prochaines étapes à définir.</v>
      </c>
      <c r="J29" s="13">
</c>
      <c r="K29" s="9" t="s">
        <v>62</v>
      </c>
      <c r="L29" s="9" cm="1" t="str">
        <f t="array" ref="L29">IF(C29="","",IF(K29="Mort / Plus rien à faire","KO","OK"))</f>
        <v>OK</v>
      </c>
      <c r="M29" s="14">
        <v>46034.43263888889</v>
      </c>
      <c r="N29" s="14" cm="1" t="n">
        <f t="array" ref="N29">IF(OR(C29="",M29="",M29=0),"",M29)</f>
        <v>46034.43263888889</v>
      </c>
      <c r="O29" s="14">
</c>
      <c r="P29" s="14" cm="1" t="str">
        <f t="array" ref="P29">IF(C29="","",IF(OR(O29="",O29=0),"-",O29))</f>
        <v>-</v>
      </c>
      <c r="Q29" s="15">
        <v>0</v>
      </c>
      <c r="R29" s="9" cm="1" t="str">
        <f t="array" ref="R29">IF(C29="","",ROUND(Q29/1000000,3)&amp;" M€")</f>
        <v>0 M€</v>
      </c>
      <c r="S29" s="16">
        <v>10</v>
      </c>
      <c r="T29" s="9" cm="1" t="str">
        <f t="array" ref="T29">IF(C29="","",SUBSTITUTE(S29,"","")&amp;"%")</f>
        <v>10%</v>
      </c>
      <c r="U29" s="12" cm="1" t="str">
        <f t="array" ref="U29">IF(($N29="")*($P29=""),"",IF(($N29&lt;&gt;"")*($N29&gt;TODAY()-9)*($N29&lt;TODAY()+1)*($P29&lt;&gt;"")*($P29&gt;=TODAY())*($P29&lt;=TODAY()+13),"Semaine passée &amp; à venir",IF(($N29&lt;&gt;"")*($N29&gt;TODAY()-9)*($N29&lt;TODAY()+1),"Semaine passée",IF(($P29&lt;&gt;"")*($P29&gt;=TODAY())*($P29&lt;=TODAY()+13),"À venir","Autre"))))</f>
        <v>Autre</v>
      </c>
      <c r="V29" cm="1" t="n">
        <f t="array" ref="V29">IF(C29&lt;&gt;"",1,0)</f>
        <v>1</v>
      </c>
    </row>
    <row r="30" ht="78.75" customHeight="1">
      <c r="A30" s="9" t="s">
        <v>23</v>
      </c>
      <c r="B30" s="9" t="s">
        <v>94</v>
      </c>
      <c r="C30" s="10" t="s">
        <v>114</v>
      </c>
      <c r="D30" s="11" t="s">
        <v>115</v>
      </c>
      <c r="E30" s="9" t="s">
        <v>26</v>
      </c>
      <c r="F30" s="13" t="s">
        <v>116</v>
      </c>
      <c r="G30" s="12" cm="1" t="str">
        <f t="array" ref="G30">IF(F30="","",SUBSTITUTE(SUBSTITUTE(SUBSTITUTE(SUBSTITUTE(F30,"&lt;li&gt;",CHAR(10)),"&lt;/li&gt;",""),"&lt;br&gt;",CHAR(10)),"&lt;strong&gt;",""))</f>
        <v>&lt;p&gt;Point actu sur fonds deeptech, docs à envoyer pour alimenter. Tentative d'enrichissement lead échouée (email invalide). Nouvelle piste créée pour équipe Ventes. Prochaine étape : envoi de documentation. Pas d'autres actions ou retours prospects mentionnés.&lt;/p&gt;</v>
      </c>
      <c r="H30" s="12" cm="1" t="str">
        <f t="array" ref="H30">IF(G30="","",SUBSTITUTE(SUBSTITUTE(SUBSTITUTE(SUBSTITUTE(SUBSTITUTE(G30,"&lt;p&gt;",""),"&lt;/p&gt;",""),"&lt;ul&gt;",""),"&lt;/ul&gt;",""),"&lt;/strong&gt;",""))</f>
        <v>Point actu sur fonds deeptech, docs à envoyer pour alimenter. Tentative d'enrichissement lead échouée (email invalide). Nouvelle piste créée pour équipe Ventes. Prochaine étape : envoi de documentation. Pas d'autres actions ou retours prospects mentionnés.</v>
      </c>
      <c r="I30" s="12" cm="1" t="str">
        <f t="array" ref="I30">IF(C30="","",IF(OR(H30="",H30=0,H30=FALSE),"-",H30))</f>
        <v>Point actu sur fonds deeptech, docs à envoyer pour alimenter. Tentative d'enrichissement lead échouée (email invalide). Nouvelle piste créée pour équipe Ventes. Prochaine étape : envoi de documentation. Pas d'autres actions ou retours prospects mentionnés.</v>
      </c>
      <c r="J30" s="13">
</c>
      <c r="K30" s="9" t="s">
        <v>46</v>
      </c>
      <c r="L30" s="9" cm="1" t="str">
        <f t="array" ref="L30">IF(C30="","",IF(K30="Mort / Plus rien à faire","KO","OK"))</f>
        <v>OK</v>
      </c>
      <c r="M30" s="14">
        <v>46050.693333333336</v>
      </c>
      <c r="N30" s="14" cm="1" t="n">
        <f t="array" ref="N30">IF(OR(C30="",M30="",M30=0),"",M30)</f>
        <v>46050.693333333336</v>
      </c>
      <c r="O30" s="14">
</c>
      <c r="P30" s="14" cm="1" t="str">
        <f t="array" ref="P30">IF(C30="","",IF(OR(O30="",O30=0),"-",O30))</f>
        <v>-</v>
      </c>
      <c r="Q30" s="15">
        <v>0</v>
      </c>
      <c r="R30" s="9" cm="1" t="str">
        <f t="array" ref="R30">IF(C30="","",ROUND(Q30/1000000,3)&amp;" M€")</f>
        <v>0 M€</v>
      </c>
      <c r="S30" s="16">
        <v>10</v>
      </c>
      <c r="T30" s="9" cm="1" t="str">
        <f t="array" ref="T30">IF(C30="","",SUBSTITUTE(S30,"","")&amp;"%")</f>
        <v>10%</v>
      </c>
      <c r="U30" s="12" cm="1" t="str">
        <f t="array" ref="U30">IF(($N30="")*($P30=""),"",IF(($N30&lt;&gt;"")*($N30&gt;TODAY()-9)*($N30&lt;TODAY()+1)*($P30&lt;&gt;"")*($P30&gt;=TODAY())*($P30&lt;=TODAY()+13),"Semaine passée &amp; à venir",IF(($N30&lt;&gt;"")*($N30&gt;TODAY()-9)*($N30&lt;TODAY()+1),"Semaine passée",IF(($P30&lt;&gt;"")*($P30&gt;=TODAY())*($P30&lt;=TODAY()+13),"À venir","Autre"))))</f>
        <v>Autre</v>
      </c>
      <c r="V30" cm="1" t="n">
        <f t="array" ref="V30">IF(C30&lt;&gt;"",1,0)</f>
        <v>1</v>
      </c>
    </row>
    <row r="31" ht="78.75" customHeight="1">
      <c r="A31" s="9" t="s">
        <v>23</v>
      </c>
      <c r="B31" s="9" t="s">
        <v>94</v>
      </c>
      <c r="C31" s="10" t="s">
        <v>117</v>
      </c>
      <c r="D31" s="11" t="s">
        <v>118</v>
      </c>
      <c r="E31" s="9" t="s">
        <v>26</v>
      </c>
      <c r="F31" s="13" t="s">
        <v>119</v>
      </c>
      <c r="G31" s="12" cm="1" t="str">
        <f t="array" ref="G31">IF(F31="","",SUBSTITUTE(SUBSTITUTE(SUBSTITUTE(SUBSTITUTE(F31,"&lt;li&gt;",CHAR(10)),"&lt;/li&gt;",""),"&lt;br&gt;",CHAR(10)),"&lt;strong&gt;",""))</f>
        <v>&lt;p&gt;Appel EG à Paul Cromback (Audacia) : prise de nouvelles, clients intéressés par LBO/secondaire, bonne connaissance Audacia. Envoi fonds Straton et FCPI Capital Innovation. Piste enrichie (infos Côme, multi-family office, expertise gestion patrimoniale). Pas d'action future planifiée.&lt;/p&gt;</v>
      </c>
      <c r="H31" s="12" cm="1" t="str">
        <f t="array" ref="H31">IF(G31="","",SUBSTITUTE(SUBSTITUTE(SUBSTITUTE(SUBSTITUTE(SUBSTITUTE(G31,"&lt;p&gt;",""),"&lt;/p&gt;",""),"&lt;ul&gt;",""),"&lt;/ul&gt;",""),"&lt;/strong&gt;",""))</f>
        <v>Appel EG à Paul Cromback (Audacia) : prise de nouvelles, clients intéressés par LBO/secondaire, bonne connaissance Audacia. Envoi fonds Straton et FCPI Capital Innovation. Piste enrichie (infos Côme, multi-family office, expertise gestion patrimoniale). Pas d'action future planifiée.</v>
      </c>
      <c r="I31" s="12" cm="1" t="str">
        <f t="array" ref="I31">IF(C31="","",IF(OR(H31="",H31=0,H31=FALSE),"-",H31))</f>
        <v>Appel EG à Paul Cromback (Audacia) : prise de nouvelles, clients intéressés par LBO/secondaire, bonne connaissance Audacia. Envoi fonds Straton et FCPI Capital Innovation. Piste enrichie (infos Côme, multi-family office, expertise gestion patrimoniale). Pas d'action future planifiée.</v>
      </c>
      <c r="J31" s="13">
</c>
      <c r="K31" s="9" t="s">
        <v>67</v>
      </c>
      <c r="L31" s="9" cm="1" t="str">
        <f t="array" ref="L31">IF(C31="","",IF(K31="Mort / Plus rien à faire","KO","OK"))</f>
        <v>OK</v>
      </c>
      <c r="M31" s="14">
        <v>45960.62489583333</v>
      </c>
      <c r="N31" s="14" cm="1" t="n">
        <f t="array" ref="N31">IF(OR(C31="",M31="",M31=0),"",M31)</f>
        <v>45960.62489583333</v>
      </c>
      <c r="O31" s="14">
</c>
      <c r="P31" s="14" cm="1" t="str">
        <f t="array" ref="P31">IF(C31="","",IF(OR(O31="",O31=0),"-",O31))</f>
        <v>-</v>
      </c>
      <c r="Q31" s="15">
        <v>0</v>
      </c>
      <c r="R31" s="9" cm="1" t="str">
        <f t="array" ref="R31">IF(C31="","",ROUND(Q31/1000000,3)&amp;" M€")</f>
        <v>0 M€</v>
      </c>
      <c r="S31" s="16">
        <v>10</v>
      </c>
      <c r="T31" s="9" cm="1" t="str">
        <f t="array" ref="T31">IF(C31="","",SUBSTITUTE(S31,"","")&amp;"%")</f>
        <v>10%</v>
      </c>
      <c r="U31" s="12" cm="1" t="str">
        <f t="array" ref="U31">IF(($N31="")*($P31=""),"",IF(($N31&lt;&gt;"")*($N31&gt;TODAY()-9)*($N31&lt;TODAY()+1)*($P31&lt;&gt;"")*($P31&gt;=TODAY())*($P31&lt;=TODAY()+13),"Semaine passée &amp; à venir",IF(($N31&lt;&gt;"")*($N31&gt;TODAY()-9)*($N31&lt;TODAY()+1),"Semaine passée",IF(($P31&lt;&gt;"")*($P31&gt;=TODAY())*($P31&lt;=TODAY()+13),"À venir","Autre"))))</f>
        <v>Autre</v>
      </c>
      <c r="V31" cm="1" t="n">
        <f t="array" ref="V31">IF(C31&lt;&gt;"",1,0)</f>
        <v>1</v>
      </c>
    </row>
    <row r="32" ht="78.75" customHeight="1">
      <c r="A32" s="9" t="s">
        <v>23</v>
      </c>
      <c r="B32" s="9" t="s">
        <v>94</v>
      </c>
      <c r="C32" s="10" t="s">
        <v>120</v>
      </c>
      <c r="D32" s="11" t="s">
        <v>121</v>
      </c>
      <c r="E32" s="9" t="s">
        <v>59</v>
      </c>
      <c r="F32" s="13" t="s">
        <v>122</v>
      </c>
      <c r="G32" s="12" cm="1" t="str">
        <f t="array" ref="G32">IF(F32="","",SUBSTITUTE(SUBSTITUTE(SUBSTITUTE(SUBSTITUTE(F32,"&lt;li&gt;",CHAR(10)),"&lt;/li&gt;",""),"&lt;br&gt;",CHAR(10)),"&lt;strong&gt;",""))</f>
        <v>&lt;p&gt;Aucune activité ou échange significatif enregistré sur l'opportunité Hedon Family Office. Seule information : nouvelle piste créée pour l'équipe Ventes par Romain Andrieu le 10/02/2026. Aucun suivi, action ou retour prospect identifié à ce jour. Prochaines étapes non définies.&lt;/p&gt;</v>
      </c>
      <c r="H32" s="12" cm="1" t="str">
        <f t="array" ref="H32">IF(G32="","",SUBSTITUTE(SUBSTITUTE(SUBSTITUTE(SUBSTITUTE(SUBSTITUTE(G32,"&lt;p&gt;",""),"&lt;/p&gt;",""),"&lt;ul&gt;",""),"&lt;/ul&gt;",""),"&lt;/strong&gt;",""))</f>
        <v>Aucune activité ou échange significatif enregistré sur l'opportunité Hedon Family Office. Seule information : nouvelle piste créée pour l'équipe Ventes par Romain Andrieu le 10/02/2026. Aucun suivi, action ou retour prospect identifié à ce jour. Prochaines étapes non définies.</v>
      </c>
      <c r="I32" s="12" cm="1" t="str">
        <f t="array" ref="I32">IF(C32="","",IF(OR(H32="",H32=0,H32=FALSE),"-",H32))</f>
        <v>Aucune activité ou échange significatif enregistré sur l'opportunité Hedon Family Office. Seule information : nouvelle piste créée pour l'équipe Ventes par Romain Andrieu le 10/02/2026. Aucun suivi, action ou retour prospect identifié à ce jour. Prochaines étapes non définies.</v>
      </c>
      <c r="J32" s="13" t="s">
        <v>123</v>
      </c>
      <c r="K32" s="9" t="s">
        <v>46</v>
      </c>
      <c r="L32" s="9" cm="1" t="str">
        <f t="array" ref="L32">IF(C32="","",IF(K32="Mort / Plus rien à faire","KO","OK"))</f>
        <v>OK</v>
      </c>
      <c r="M32" s="14">
        <v>46063.36581018518</v>
      </c>
      <c r="N32" s="14" cm="1" t="n">
        <f t="array" ref="N32">IF(OR(C32="",M32="",M32=0),"",M32)</f>
        <v>46063.36581018518</v>
      </c>
      <c r="O32" s="14">
</c>
      <c r="P32" s="14" cm="1" t="str">
        <f t="array" ref="P32">IF(C32="","",IF(OR(O32="",O32=0),"-",O32))</f>
        <v>-</v>
      </c>
      <c r="Q32" s="15">
        <v>0</v>
      </c>
      <c r="R32" s="9" cm="1" t="str">
        <f t="array" ref="R32">IF(C32="","",ROUND(Q32/1000000,3)&amp;" M€")</f>
        <v>0 M€</v>
      </c>
      <c r="S32" s="16">
        <v>10</v>
      </c>
      <c r="T32" s="9" cm="1" t="str">
        <f t="array" ref="T32">IF(C32="","",SUBSTITUTE(S32,"","")&amp;"%")</f>
        <v>10%</v>
      </c>
      <c r="U32" s="12" cm="1" t="str">
        <f t="array" ref="U32">IF(($N32="")*($P32=""),"",IF(($N32&lt;&gt;"")*($N32&gt;TODAY()-9)*($N32&lt;TODAY()+1)*($P32&lt;&gt;"")*($P32&gt;=TODAY())*($P32&lt;=TODAY()+13),"Semaine passée &amp; à venir",IF(($N32&lt;&gt;"")*($N32&gt;TODAY()-9)*($N32&lt;TODAY()+1),"Semaine passée",IF(($P32&lt;&gt;"")*($P32&gt;=TODAY())*($P32&lt;=TODAY()+13),"À venir","Autre"))))</f>
        <v>Autre</v>
      </c>
      <c r="V32" cm="1" t="n">
        <f t="array" ref="V32">IF(C32&lt;&gt;"",1,0)</f>
        <v>1</v>
      </c>
    </row>
    <row r="33" ht="78.75" customHeight="1">
      <c r="A33" s="9" t="s">
        <v>23</v>
      </c>
      <c r="B33" s="9" t="s">
        <v>40</v>
      </c>
      <c r="C33" s="10" t="s">
        <v>124</v>
      </c>
      <c r="D33" s="11" t="s">
        <v>125</v>
      </c>
      <c r="E33" s="9" t="s">
        <v>65</v>
      </c>
      <c r="F33" s="13" t="s">
        <v>126</v>
      </c>
      <c r="G33" s="12" cm="1" t="str">
        <f t="array" ref="G33">IF(F33="","",SUBSTITUTE(SUBSTITUTE(SUBSTITUTE(SUBSTITUTE(F33,"&lt;li&gt;",CHAR(10)),"&lt;/li&gt;",""),"&lt;br&gt;",CHAR(10)),"&lt;strong&gt;",""))</f>
        <v>&lt;p&gt;RDV Claire-Marie x Pauline : Présentation fonds 150 OB ter, Géodésic, Constellation IV. Intérêt pour evergreen, secondaire, dette privée, infra, liquidité. Présentations envoyées, relances faites. Peu d'intérêt client sur Straton à ce stade. Dernier mail pour RDV envoyé 20/01. Suivi à poursuivre.&lt;/p&gt;</v>
      </c>
      <c r="H33" s="12" cm="1" t="str">
        <f t="array" ref="H33">IF(G33="","",SUBSTITUTE(SUBSTITUTE(SUBSTITUTE(SUBSTITUTE(SUBSTITUTE(G33,"&lt;p&gt;",""),"&lt;/p&gt;",""),"&lt;ul&gt;",""),"&lt;/ul&gt;",""),"&lt;/strong&gt;",""))</f>
        <v>RDV Claire-Marie x Pauline : Présentation fonds 150 OB ter, Géodésic, Constellation IV. Intérêt pour evergreen, secondaire, dette privée, infra, liquidité. Présentations envoyées, relances faites. Peu d'intérêt client sur Straton à ce stade. Dernier mail pour RDV envoyé 20/01. Suivi à poursuivre.</v>
      </c>
      <c r="I33" s="12" cm="1" t="str">
        <f t="array" ref="I33">IF(C33="","",IF(OR(H33="",H33=0,H33=FALSE),"-",H33))</f>
        <v>RDV Claire-Marie x Pauline : Présentation fonds 150 OB ter, Géodésic, Constellation IV. Intérêt pour evergreen, secondaire, dette privée, infra, liquidité. Présentations envoyées, relances faites. Peu d'intérêt client sur Straton à ce stade. Dernier mail pour RDV envoyé 20/01. Suivi à poursuivre.</v>
      </c>
      <c r="J33" s="13">
</c>
      <c r="K33" s="9" t="s">
        <v>67</v>
      </c>
      <c r="L33" s="9" cm="1" t="str">
        <f t="array" ref="L33">IF(C33="","",IF(K33="Mort / Plus rien à faire","KO","OK"))</f>
        <v>OK</v>
      </c>
      <c r="M33" s="14">
        <v>46042.622719907406</v>
      </c>
      <c r="N33" s="14" cm="1" t="n">
        <f t="array" ref="N33">IF(OR(C33="",M33="",M33=0),"",M33)</f>
        <v>46042.622719907406</v>
      </c>
      <c r="O33" s="14">
</c>
      <c r="P33" s="14" cm="1" t="str">
        <f t="array" ref="P33">IF(C33="","",IF(OR(O33="",O33=0),"-",O33))</f>
        <v>-</v>
      </c>
      <c r="Q33" s="15">
        <v>0</v>
      </c>
      <c r="R33" s="9" cm="1" t="str">
        <f t="array" ref="R33">IF(C33="","",ROUND(Q33/1000000,3)&amp;" M€")</f>
        <v>0 M€</v>
      </c>
      <c r="S33" s="16">
        <v>10</v>
      </c>
      <c r="T33" s="9" cm="1" t="str">
        <f t="array" ref="T33">IF(C33="","",SUBSTITUTE(S33,"","")&amp;"%")</f>
        <v>10%</v>
      </c>
      <c r="U33" s="12" cm="1" t="str">
        <f t="array" ref="U33">IF(($N33="")*($P33=""),"",IF(($N33&lt;&gt;"")*($N33&gt;TODAY()-9)*($N33&lt;TODAY()+1)*($P33&lt;&gt;"")*($P33&gt;=TODAY())*($P33&lt;=TODAY()+13),"Semaine passée &amp; à venir",IF(($N33&lt;&gt;"")*($N33&gt;TODAY()-9)*($N33&lt;TODAY()+1),"Semaine passée",IF(($P33&lt;&gt;"")*($P33&gt;=TODAY())*($P33&lt;=TODAY()+13),"À venir","Autre"))))</f>
        <v>Autre</v>
      </c>
      <c r="V33" cm="1" t="n">
        <f t="array" ref="V33">IF(C33&lt;&gt;"",1,0)</f>
        <v>1</v>
      </c>
    </row>
    <row r="34" ht="78.75" customHeight="1">
      <c r="A34" s="9" t="s">
        <v>23</v>
      </c>
      <c r="B34" s="9" t="s">
        <v>56</v>
      </c>
      <c r="C34" s="10" t="s">
        <v>127</v>
      </c>
      <c r="D34" s="11" t="s">
        <v>128</v>
      </c>
      <c r="E34" s="9" t="s">
        <v>59</v>
      </c>
      <c r="F34" s="13" t="s">
        <v>129</v>
      </c>
      <c r="G34" s="12" cm="1" t="str">
        <f t="array" ref="G34">IF(F34="","",SUBSTITUTE(SUBSTITUTE(SUBSTITUTE(SUBSTITUTE(F34,"&lt;li&gt;",CHAR(10)),"&lt;/li&gt;",""),"&lt;br&gt;",CHAR(10)),"&lt;strong&gt;",""))</f>
        <v>&lt;p&gt;RDV physique 16/03 à Bourrienne, revue d'activités, évoqué quantique et geodesic. Suivi en cours pour co-investissement avec EXPANSION sur territoire CECAZ, instruction à poursuivre par Expansion. Prochaine étape : suivi instruction, deadline 26/03. Pas de retour prospect sur fonds à ce stade.&lt;/p&gt;</v>
      </c>
      <c r="H34" s="12" cm="1" t="str">
        <f t="array" ref="H34">IF(G34="","",SUBSTITUTE(SUBSTITUTE(SUBSTITUTE(SUBSTITUTE(SUBSTITUTE(G34,"&lt;p&gt;",""),"&lt;/p&gt;",""),"&lt;ul&gt;",""),"&lt;/ul&gt;",""),"&lt;/strong&gt;",""))</f>
        <v>RDV physique 16/03 à Bourrienne, revue d'activités, évoqué quantique et geodesic. Suivi en cours pour co-investissement avec EXPANSION sur territoire CECAZ, instruction à poursuivre par Expansion. Prochaine étape : suivi instruction, deadline 26/03. Pas de retour prospect sur fonds à ce stade.</v>
      </c>
      <c r="I34" s="12" cm="1" t="str">
        <f t="array" ref="I34">IF(C34="","",IF(OR(H34="",H34=0,H34=FALSE),"-",H34))</f>
        <v>RDV physique 16/03 à Bourrienne, revue d'activités, évoqué quantique et geodesic. Suivi en cours pour co-investissement avec EXPANSION sur territoire CECAZ, instruction à poursuivre par Expansion. Prochaine étape : suivi instruction, deadline 26/03. Pas de retour prospect sur fonds à ce stade.</v>
      </c>
      <c r="J34" s="13" t="s">
        <v>130</v>
      </c>
      <c r="K34" s="9" t="s">
        <v>62</v>
      </c>
      <c r="L34" s="9" cm="1" t="str">
        <f t="array" ref="L34">IF(C34="","",IF(K34="Mort / Plus rien à faire","KO","OK"))</f>
        <v>OK</v>
      </c>
      <c r="M34" s="14">
        <v>46098.659525462965</v>
      </c>
      <c r="N34" s="14" cm="1" t="n">
        <f t="array" ref="N34">IF(OR(C34="",M34="",M34=0),"",M34)</f>
        <v>46098.659525462965</v>
      </c>
      <c r="O34" s="14">
</c>
      <c r="P34" s="14" cm="1" t="str">
        <f t="array" ref="P34">IF(C34="","",IF(OR(O34="",O34=0),"-",O34))</f>
        <v>-</v>
      </c>
      <c r="Q34" s="15">
        <v>0</v>
      </c>
      <c r="R34" s="9" cm="1" t="str">
        <f t="array" ref="R34">IF(C34="","",ROUND(Q34/1000000,3)&amp;" M€")</f>
        <v>0 M€</v>
      </c>
      <c r="S34" s="16">
        <v>10</v>
      </c>
      <c r="T34" s="9" cm="1" t="str">
        <f t="array" ref="T34">IF(C34="","",SUBSTITUTE(S34,"","")&amp;"%")</f>
        <v>10%</v>
      </c>
      <c r="U34" s="12" cm="1" t="str">
        <f t="array" ref="U34">IF(($N34="")*($P34=""),"",IF(($N34&lt;&gt;"")*($N34&gt;TODAY()-9)*($N34&lt;TODAY()+1)*($P34&lt;&gt;"")*($P34&gt;=TODAY())*($P34&lt;=TODAY()+13),"Semaine passée &amp; à venir",IF(($N34&lt;&gt;"")*($N34&gt;TODAY()-9)*($N34&lt;TODAY()+1),"Semaine passée",IF(($P34&lt;&gt;"")*($P34&gt;=TODAY())*($P34&lt;=TODAY()+13),"À venir","Autre"))))</f>
        <v>Autre</v>
      </c>
      <c r="V34" cm="1" t="n">
        <f t="array" ref="V34">IF(C34&lt;&gt;"",1,0)</f>
        <v>1</v>
      </c>
    </row>
    <row r="35" ht="78.75" customHeight="1">
      <c r="A35" s="9" t="s">
        <v>23</v>
      </c>
      <c r="B35" s="9" t="s">
        <v>40</v>
      </c>
      <c r="C35" s="10" t="s">
        <v>131</v>
      </c>
      <c r="D35" s="11" t="s">
        <v>132</v>
      </c>
      <c r="E35" s="9" t="s">
        <v>26</v>
      </c>
      <c r="F35" s="13" t="s">
        <v>133</v>
      </c>
      <c r="G35" s="12" cm="1" t="str">
        <f t="array" ref="G35">IF(F35="","",SUBSTITUTE(SUBSTITUTE(SUBSTITUTE(SUBSTITUTE(F35,"&lt;li&gt;",CHAR(10)),"&lt;/li&gt;",""),"&lt;br&gt;",CHAR(10)),"&lt;strong&gt;",""))</f>
        <v>&lt;p&gt;Présentation fonds Audacia au prospect pour étudier un partenariat et envoi de dossiers (28/01). Enrichissement lead impossible (email non valide). Nouvelle piste créée pour équipe Ventes. Pas de retour prospect ni d'activité ultérieure enregistrée. Prochaines étapes non définies.&lt;/p&gt;</v>
      </c>
      <c r="H35" s="12" cm="1" t="str">
        <f t="array" ref="H35">IF(G35="","",SUBSTITUTE(SUBSTITUTE(SUBSTITUTE(SUBSTITUTE(SUBSTITUTE(G35,"&lt;p&gt;",""),"&lt;/p&gt;",""),"&lt;ul&gt;",""),"&lt;/ul&gt;",""),"&lt;/strong&gt;",""))</f>
        <v>Présentation fonds Audacia au prospect pour étudier un partenariat et envoi de dossiers (28/01). Enrichissement lead impossible (email non valide). Nouvelle piste créée pour équipe Ventes. Pas de retour prospect ni d'activité ultérieure enregistrée. Prochaines étapes non définies.</v>
      </c>
      <c r="I35" s="12" cm="1" t="str">
        <f t="array" ref="I35">IF(C35="","",IF(OR(H35="",H35=0,H35=FALSE),"-",H35))</f>
        <v>Présentation fonds Audacia au prospect pour étudier un partenariat et envoi de dossiers (28/01). Enrichissement lead impossible (email non valide). Nouvelle piste créée pour équipe Ventes. Pas de retour prospect ni d'activité ultérieure enregistrée. Prochaines étapes non définies.</v>
      </c>
      <c r="J35" s="13">
</c>
      <c r="K35" s="9" t="s">
        <v>46</v>
      </c>
      <c r="L35" s="9" cm="1" t="str">
        <f t="array" ref="L35">IF(C35="","",IF(K35="Mort / Plus rien à faire","KO","OK"))</f>
        <v>OK</v>
      </c>
      <c r="M35" s="14">
        <v>46050.73570601852</v>
      </c>
      <c r="N35" s="14" cm="1" t="n">
        <f t="array" ref="N35">IF(OR(C35="",M35="",M35=0),"",M35)</f>
        <v>46050.73570601852</v>
      </c>
      <c r="O35" s="14">
</c>
      <c r="P35" s="14" cm="1" t="str">
        <f t="array" ref="P35">IF(C35="","",IF(OR(O35="",O35=0),"-",O35))</f>
        <v>-</v>
      </c>
      <c r="Q35" s="15">
        <v>0</v>
      </c>
      <c r="R35" s="9" cm="1" t="str">
        <f t="array" ref="R35">IF(C35="","",ROUND(Q35/1000000,3)&amp;" M€")</f>
        <v>0 M€</v>
      </c>
      <c r="S35" s="16">
        <v>10</v>
      </c>
      <c r="T35" s="9" cm="1" t="str">
        <f t="array" ref="T35">IF(C35="","",SUBSTITUTE(S35,"","")&amp;"%")</f>
        <v>10%</v>
      </c>
      <c r="U35" s="12" cm="1" t="str">
        <f t="array" ref="U35">IF(($N35="")*($P35=""),"",IF(($N35&lt;&gt;"")*($N35&gt;TODAY()-9)*($N35&lt;TODAY()+1)*($P35&lt;&gt;"")*($P35&gt;=TODAY())*($P35&lt;=TODAY()+13),"Semaine passée &amp; à venir",IF(($N35&lt;&gt;"")*($N35&gt;TODAY()-9)*($N35&lt;TODAY()+1),"Semaine passée",IF(($P35&lt;&gt;"")*($P35&gt;=TODAY())*($P35&lt;=TODAY()+13),"À venir","Autre"))))</f>
        <v>Autre</v>
      </c>
      <c r="V35" cm="1" t="n">
        <f t="array" ref="V35">IF(C35&lt;&gt;"",1,0)</f>
        <v>1</v>
      </c>
    </row>
    <row r="36" ht="78.75" customHeight="1">
      <c r="A36" s="9" t="s">
        <v>23</v>
      </c>
      <c r="B36" s="9" t="s">
        <v>29</v>
      </c>
      <c r="C36" s="10" t="s">
        <v>134</v>
      </c>
      <c r="D36" s="11" t="s">
        <v>135</v>
      </c>
      <c r="E36" s="9" t="s">
        <v>26</v>
      </c>
      <c r="F36" s="13" t="s">
        <v>136</v>
      </c>
      <c r="G36" s="12" cm="1" t="str">
        <f t="array" ref="G36">IF(F36="","",SUBSTITUTE(SUBSTITUTE(SUBSTITUTE(SUBSTITUTE(F36,"&lt;li&gt;",CHAR(10)),"&lt;/li&gt;",""),"&lt;br&gt;",CHAR(10)),"&lt;strong&gt;",""))</f>
        <v>&lt;p&gt;Aucune activité ni échange significatif relevé sur cette opportunité depuis la création de la piste pour l'équipe "Ventes". Aucun suivi, action ou retour prospect enregistré à ce jour. Pas de prochaine étape identifiée ni de conclusion sur l'intérêt ou le ressenti du prospect.&lt;/p&gt;</v>
      </c>
      <c r="H36" s="12" cm="1" t="str">
        <f t="array" ref="H36">IF(G36="","",SUBSTITUTE(SUBSTITUTE(SUBSTITUTE(SUBSTITUTE(SUBSTITUTE(G36,"&lt;p&gt;",""),"&lt;/p&gt;",""),"&lt;ul&gt;",""),"&lt;/ul&gt;",""),"&lt;/strong&gt;",""))</f>
        <v>Aucune activité ni échange significatif relevé sur cette opportunité depuis la création de la piste pour l'équipe "Ventes". Aucun suivi, action ou retour prospect enregistré à ce jour. Pas de prochaine étape identifiée ni de conclusion sur l'intérêt ou le ressenti du prospect.</v>
      </c>
      <c r="I36" s="12" cm="1" t="str">
        <f t="array" ref="I36">IF(C36="","",IF(OR(H36="",H36=0,H36=FALSE),"-",H36))</f>
        <v>Aucune activité ni échange significatif relevé sur cette opportunité depuis la création de la piste pour l'équipe "Ventes". Aucun suivi, action ou retour prospect enregistré à ce jour. Pas de prochaine étape identifiée ni de conclusion sur l'intérêt ou le ressenti du prospect.</v>
      </c>
      <c r="J36" s="13">
</c>
      <c r="K36" s="9" t="s">
        <v>67</v>
      </c>
      <c r="L36" s="9" cm="1" t="str">
        <f t="array" ref="L36">IF(C36="","",IF(K36="Mort / Plus rien à faire","KO","OK"))</f>
        <v>OK</v>
      </c>
      <c r="M36" s="14">
        <v>46056.49582175926</v>
      </c>
      <c r="N36" s="14" cm="1" t="n">
        <f t="array" ref="N36">IF(OR(C36="",M36="",M36=0),"",M36)</f>
        <v>46056.49582175926</v>
      </c>
      <c r="O36" s="14">
</c>
      <c r="P36" s="14" cm="1" t="str">
        <f t="array" ref="P36">IF(C36="","",IF(OR(O36="",O36=0),"-",O36))</f>
        <v>-</v>
      </c>
      <c r="Q36" s="15">
        <v>0</v>
      </c>
      <c r="R36" s="9" cm="1" t="str">
        <f t="array" ref="R36">IF(C36="","",ROUND(Q36/1000000,3)&amp;" M€")</f>
        <v>0 M€</v>
      </c>
      <c r="S36" s="16">
        <v>10</v>
      </c>
      <c r="T36" s="9" cm="1" t="str">
        <f t="array" ref="T36">IF(C36="","",SUBSTITUTE(S36,"","")&amp;"%")</f>
        <v>10%</v>
      </c>
      <c r="U36" s="12" cm="1" t="str">
        <f t="array" ref="U36">IF(($N36="")*($P36=""),"",IF(($N36&lt;&gt;"")*($N36&gt;TODAY()-9)*($N36&lt;TODAY()+1)*($P36&lt;&gt;"")*($P36&gt;=TODAY())*($P36&lt;=TODAY()+13),"Semaine passée &amp; à venir",IF(($N36&lt;&gt;"")*($N36&gt;TODAY()-9)*($N36&lt;TODAY()+1),"Semaine passée",IF(($P36&lt;&gt;"")*($P36&gt;=TODAY())*($P36&lt;=TODAY()+13),"À venir","Autre"))))</f>
        <v>Autre</v>
      </c>
      <c r="V36" cm="1" t="n">
        <f t="array" ref="V36">IF(C36&lt;&gt;"",1,0)</f>
        <v>1</v>
      </c>
    </row>
    <row r="37" ht="78.75" customHeight="1">
      <c r="A37" s="9" t="s">
        <v>23</v>
      </c>
      <c r="B37" s="9" t="s">
        <v>29</v>
      </c>
      <c r="C37" s="10" t="s">
        <v>137</v>
      </c>
      <c r="D37" s="11" t="s">
        <v>138</v>
      </c>
      <c r="E37" s="9" t="s">
        <v>26</v>
      </c>
      <c r="F37" s="13" t="s">
        <v>139</v>
      </c>
      <c r="G37" s="12" cm="1" t="str">
        <f t="array" ref="G37">IF(F37="","",SUBSTITUTE(SUBSTITUTE(SUBSTITUTE(SUBSTITUTE(F37,"&lt;li&gt;",CHAR(10)),"&lt;/li&gt;",""),"&lt;br&gt;",CHAR(10)),"&lt;strong&gt;",""))</f>
        <v>&lt;p&gt;25/02/2026 : call avec Nicolas Meyer pour organiser rencontre à Paris, cible gros clients HNWI. Nouvelle piste créée équipe Ventes. Enrichissement lead impossible (email invalide). Prochaine étape : rencontre prévue le 15/04/2026. Pas d'autres retours prospects ni conclusions sur fonds à ce stade.&lt;/p&gt;</v>
      </c>
      <c r="H37" s="12" cm="1" t="str">
        <f t="array" ref="H37">IF(G37="","",SUBSTITUTE(SUBSTITUTE(SUBSTITUTE(SUBSTITUTE(SUBSTITUTE(G37,"&lt;p&gt;",""),"&lt;/p&gt;",""),"&lt;ul&gt;",""),"&lt;/ul&gt;",""),"&lt;/strong&gt;",""))</f>
        <v>25/02/2026 : call avec Nicolas Meyer pour organiser rencontre à Paris, cible gros clients HNWI. Nouvelle piste créée équipe Ventes. Enrichissement lead impossible (email invalide). Prochaine étape : rencontre prévue le 15/04/2026. Pas d'autres retours prospects ni conclusions sur fonds à ce stade.</v>
      </c>
      <c r="I37" s="12" cm="1" t="str">
        <f t="array" ref="I37">IF(C37="","",IF(OR(H37="",H37=0,H37=FALSE),"-",H37))</f>
        <v>25/02/2026 : call avec Nicolas Meyer pour organiser rencontre à Paris, cible gros clients HNWI. Nouvelle piste créée équipe Ventes. Enrichissement lead impossible (email invalide). Prochaine étape : rencontre prévue le 15/04/2026. Pas d'autres retours prospects ni conclusions sur fonds à ce stade.</v>
      </c>
      <c r="J37" s="13" t="s">
        <v>140</v>
      </c>
      <c r="K37" s="9" t="s">
        <v>46</v>
      </c>
      <c r="L37" s="9" cm="1" t="str">
        <f t="array" ref="L37">IF(C37="","",IF(K37="Mort / Plus rien à faire","KO","OK"))</f>
        <v>OK</v>
      </c>
      <c r="M37" s="14">
        <v>46087.70364583333</v>
      </c>
      <c r="N37" s="14" cm="1" t="n">
        <f t="array" ref="N37">IF(OR(C37="",M37="",M37=0),"",M37)</f>
        <v>46087.70364583333</v>
      </c>
      <c r="O37" s="14">
        <v>46127.083333333336</v>
      </c>
      <c r="P37" s="14" cm="1" t="n">
        <f t="array" ref="P37">IF(C37="","",IF(OR(O37="",O37=0),"-",O37))</f>
        <v>46127.083333333336</v>
      </c>
      <c r="Q37" s="15">
        <v>0</v>
      </c>
      <c r="R37" s="9" cm="1" t="str">
        <f t="array" ref="R37">IF(C37="","",ROUND(Q37/1000000,3)&amp;" M€")</f>
        <v>0 M€</v>
      </c>
      <c r="S37" s="16">
        <v>10</v>
      </c>
      <c r="T37" s="9" cm="1" t="str">
        <f t="array" ref="T37">IF(C37="","",SUBSTITUTE(S37,"","")&amp;"%")</f>
        <v>10%</v>
      </c>
      <c r="U37" s="12" cm="1" t="str">
        <f t="array" ref="U37">IF(($N37="")*($P37=""),"",IF(($N37&lt;&gt;"")*($N37&gt;TODAY()-9)*($N37&lt;TODAY()+1)*($P37&lt;&gt;"")*($P37&gt;=TODAY())*($P37&lt;=TODAY()+13),"Semaine passée &amp; à venir",IF(($N37&lt;&gt;"")*($N37&gt;TODAY()-9)*($N37&lt;TODAY()+1),"Semaine passée",IF(($P37&lt;&gt;"")*($P37&gt;=TODAY())*($P37&lt;=TODAY()+13),"À venir","Autre"))))</f>
        <v>À venir</v>
      </c>
      <c r="V37" cm="1" t="n">
        <f t="array" ref="V37">IF(C37&lt;&gt;"",1,0)</f>
        <v>1</v>
      </c>
    </row>
    <row r="38" ht="78.75" customHeight="1">
      <c r="A38" s="9" t="s">
        <v>23</v>
      </c>
      <c r="B38" s="9" t="s">
        <v>94</v>
      </c>
      <c r="C38" s="10" t="s">
        <v>141</v>
      </c>
      <c r="D38" s="9">
</c>
      <c r="E38" s="9" t="s">
        <v>59</v>
      </c>
      <c r="F38" s="13" t="s">
        <v>142</v>
      </c>
      <c r="G38" s="12" cm="1" t="str">
        <f t="array" ref="G38">IF(F38="","",SUBSTITUTE(SUBSTITUTE(SUBSTITUTE(SUBSTITUTE(F38,"&lt;li&gt;",CHAR(10)),"&lt;/li&gt;",""),"&lt;br&gt;",CHAR(10)),"&lt;strong&gt;",""))</f>
        <v>&lt;p&gt;RDV physique 5 mars : prospect gère fonds 10M€, focus early stage, Inde/Moyen-Orient, 2 deals deeptech (ADEX, EXODIGO). Intérêt pour GEODESIC, souhaite voir start-up en levée dans la zone Inde. Prochaine étape : présenter dossiers pertinents, relance à prévoir, non prioritaire.&lt;/p&gt;</v>
      </c>
      <c r="H38" s="12" cm="1" t="str">
        <f t="array" ref="H38">IF(G38="","",SUBSTITUTE(SUBSTITUTE(SUBSTITUTE(SUBSTITUTE(SUBSTITUTE(G38,"&lt;p&gt;",""),"&lt;/p&gt;",""),"&lt;ul&gt;",""),"&lt;/ul&gt;",""),"&lt;/strong&gt;",""))</f>
        <v>RDV physique 5 mars : prospect gère fonds 10M€, focus early stage, Inde/Moyen-Orient, 2 deals deeptech (ADEX, EXODIGO). Intérêt pour GEODESIC, souhaite voir start-up en levée dans la zone Inde. Prochaine étape : présenter dossiers pertinents, relance à prévoir, non prioritaire.</v>
      </c>
      <c r="I38" s="12" cm="1" t="str">
        <f t="array" ref="I38">IF(C38="","",IF(OR(H38="",H38=0,H38=FALSE),"-",H38))</f>
        <v>RDV physique 5 mars : prospect gère fonds 10M€, focus early stage, Inde/Moyen-Orient, 2 deals deeptech (ADEX, EXODIGO). Intérêt pour GEODESIC, souhaite voir start-up en levée dans la zone Inde. Prochaine étape : présenter dossiers pertinents, relance à prévoir, non prioritaire.</v>
      </c>
      <c r="J38" s="13" t="s">
        <v>143</v>
      </c>
      <c r="K38" s="9" t="s">
        <v>46</v>
      </c>
      <c r="L38" s="9" cm="1" t="str">
        <f t="array" ref="L38">IF(C38="","",IF(K38="Mort / Plus rien à faire","KO","OK"))</f>
        <v>OK</v>
      </c>
      <c r="M38" s="14">
        <v>46094.51291666667</v>
      </c>
      <c r="N38" s="14" cm="1" t="n">
        <f t="array" ref="N38">IF(OR(C38="",M38="",M38=0),"",M38)</f>
        <v>46094.51291666667</v>
      </c>
      <c r="O38" s="14">
</c>
      <c r="P38" s="14" cm="1" t="str">
        <f t="array" ref="P38">IF(C38="","",IF(OR(O38="",O38=0),"-",O38))</f>
        <v>-</v>
      </c>
      <c r="Q38" s="15">
        <v>0</v>
      </c>
      <c r="R38" s="9" cm="1" t="str">
        <f t="array" ref="R38">IF(C38="","",ROUND(Q38/1000000,3)&amp;" M€")</f>
        <v>0 M€</v>
      </c>
      <c r="S38" s="16">
        <v>10</v>
      </c>
      <c r="T38" s="9" cm="1" t="str">
        <f t="array" ref="T38">IF(C38="","",SUBSTITUTE(S38,"","")&amp;"%")</f>
        <v>10%</v>
      </c>
      <c r="U38" s="12" cm="1" t="str">
        <f t="array" ref="U38">IF(($N38="")*($P38=""),"",IF(($N38&lt;&gt;"")*($N38&gt;TODAY()-9)*($N38&lt;TODAY()+1)*($P38&lt;&gt;"")*($P38&gt;=TODAY())*($P38&lt;=TODAY()+13),"Semaine passée &amp; à venir",IF(($N38&lt;&gt;"")*($N38&gt;TODAY()-9)*($N38&lt;TODAY()+1),"Semaine passée",IF(($P38&lt;&gt;"")*($P38&gt;=TODAY())*($P38&lt;=TODAY()+13),"À venir","Autre"))))</f>
        <v>Autre</v>
      </c>
      <c r="V38" cm="1" t="n">
        <f t="array" ref="V38">IF(C38&lt;&gt;"",1,0)</f>
        <v>1</v>
      </c>
    </row>
    <row r="39" ht="78.75" customHeight="1">
      <c r="A39" s="9" t="s">
        <v>23</v>
      </c>
      <c r="B39" s="9" t="s">
        <v>40</v>
      </c>
      <c r="C39" s="10" t="s">
        <v>144</v>
      </c>
      <c r="D39" s="11" t="s">
        <v>145</v>
      </c>
      <c r="E39" s="9" t="s">
        <v>26</v>
      </c>
      <c r="F39" s="13" t="s">
        <v>146</v>
      </c>
      <c r="G39" s="12" cm="1" t="str">
        <f t="array" ref="G39">IF(F39="","",SUBSTITUTE(SUBSTITUTE(SUBSTITUTE(SUBSTITUTE(F39,"&lt;li&gt;",CHAR(10)),"&lt;/li&gt;",""),"&lt;br&gt;",CHAR(10)),"&lt;strong&gt;",""))</f>
        <v>&lt;p&gt;Piste créée pour équipe Ventes. Call le 26/02/2026 pour signature convention distribution fonds. En attente KYC distributeur. Enrichissement lead impossible (email non valide). Prochaine étape : réception KYC pour avancer sur la distribution des fonds. Aucune autre activité récente.&lt;/p&gt;</v>
      </c>
      <c r="H39" s="12" cm="1" t="str">
        <f t="array" ref="H39">IF(G39="","",SUBSTITUTE(SUBSTITUTE(SUBSTITUTE(SUBSTITUTE(SUBSTITUTE(G39,"&lt;p&gt;",""),"&lt;/p&gt;",""),"&lt;ul&gt;",""),"&lt;/ul&gt;",""),"&lt;/strong&gt;",""))</f>
        <v>Piste créée pour équipe Ventes. Call le 26/02/2026 pour signature convention distribution fonds. En attente KYC distributeur. Enrichissement lead impossible (email non valide). Prochaine étape : réception KYC pour avancer sur la distribution des fonds. Aucune autre activité récente.</v>
      </c>
      <c r="I39" s="12" cm="1" t="str">
        <f t="array" ref="I39">IF(C39="","",IF(OR(H39="",H39=0,H39=FALSE),"-",H39))</f>
        <v>Piste créée pour équipe Ventes. Call le 26/02/2026 pour signature convention distribution fonds. En attente KYC distributeur. Enrichissement lead impossible (email non valide). Prochaine étape : réception KYC pour avancer sur la distribution des fonds. Aucune autre activité récente.</v>
      </c>
      <c r="J39" s="13">
</c>
      <c r="K39" s="9" t="s">
        <v>46</v>
      </c>
      <c r="L39" s="9" cm="1" t="str">
        <f t="array" ref="L39">IF(C39="","",IF(K39="Mort / Plus rien à faire","KO","OK"))</f>
        <v>OK</v>
      </c>
      <c r="M39" s="14">
        <v>46087.70793981481</v>
      </c>
      <c r="N39" s="14" cm="1" t="n">
        <f t="array" ref="N39">IF(OR(C39="",M39="",M39=0),"",M39)</f>
        <v>46087.70793981481</v>
      </c>
      <c r="O39" s="14">
</c>
      <c r="P39" s="14" cm="1" t="str">
        <f t="array" ref="P39">IF(C39="","",IF(OR(O39="",O39=0),"-",O39))</f>
        <v>-</v>
      </c>
      <c r="Q39" s="15">
        <v>0</v>
      </c>
      <c r="R39" s="9" cm="1" t="str">
        <f t="array" ref="R39">IF(C39="","",ROUND(Q39/1000000,3)&amp;" M€")</f>
        <v>0 M€</v>
      </c>
      <c r="S39" s="16">
        <v>10</v>
      </c>
      <c r="T39" s="9" cm="1" t="str">
        <f t="array" ref="T39">IF(C39="","",SUBSTITUTE(S39,"","")&amp;"%")</f>
        <v>10%</v>
      </c>
      <c r="U39" s="12" cm="1" t="str">
        <f t="array" ref="U39">IF(($N39="")*($P39=""),"",IF(($N39&lt;&gt;"")*($N39&gt;TODAY()-9)*($N39&lt;TODAY()+1)*($P39&lt;&gt;"")*($P39&gt;=TODAY())*($P39&lt;=TODAY()+13),"Semaine passée &amp; à venir",IF(($N39&lt;&gt;"")*($N39&gt;TODAY()-9)*($N39&lt;TODAY()+1),"Semaine passée",IF(($P39&lt;&gt;"")*($P39&gt;=TODAY())*($P39&lt;=TODAY()+13),"À venir","Autre"))))</f>
        <v>Autre</v>
      </c>
      <c r="V39" cm="1" t="n">
        <f t="array" ref="V39">IF(C39&lt;&gt;"",1,0)</f>
        <v>1</v>
      </c>
    </row>
    <row r="40" ht="78.75" customHeight="1">
      <c r="A40" s="9" t="s">
        <v>23</v>
      </c>
      <c r="B40" s="9" t="s">
        <v>94</v>
      </c>
      <c r="C40" s="10" t="s">
        <v>147</v>
      </c>
      <c r="D40" s="11" t="s">
        <v>148</v>
      </c>
      <c r="E40" s="9" t="s">
        <v>65</v>
      </c>
      <c r="F40" s="13" t="s">
        <v>149</v>
      </c>
      <c r="G40" s="12" cm="1" t="str">
        <f t="array" ref="G40">IF(F40="","",SUBSTITUTE(SUBSTITUTE(SUBSTITUTE(SUBSTITUTE(F40,"&lt;li&gt;",CHAR(10)),"&lt;/li&gt;",""),"&lt;br&gt;",CHAR(10)),"&lt;strong&gt;",""))</f>
        <v>&lt;p&gt;Appel le 18/02, message laissé pour prise de nouvelles et proposition de RDV avec équipe sélection investissements. Création piste notée le 12/01. Pas de retour ni d'autres actions récentes. Prochaine étape : obtenir un RDV. Pas de feedback prospect sur fonds présentés à ce stade.&lt;/p&gt;</v>
      </c>
      <c r="H40" s="12" cm="1" t="str">
        <f t="array" ref="H40">IF(G40="","",SUBSTITUTE(SUBSTITUTE(SUBSTITUTE(SUBSTITUTE(SUBSTITUTE(G40,"&lt;p&gt;",""),"&lt;/p&gt;",""),"&lt;ul&gt;",""),"&lt;/ul&gt;",""),"&lt;/strong&gt;",""))</f>
        <v>Appel le 18/02, message laissé pour prise de nouvelles et proposition de RDV avec équipe sélection investissements. Création piste notée le 12/01. Pas de retour ni d'autres actions récentes. Prochaine étape : obtenir un RDV. Pas de feedback prospect sur fonds présentés à ce stade.</v>
      </c>
      <c r="I40" s="12" cm="1" t="str">
        <f t="array" ref="I40">IF(C40="","",IF(OR(H40="",H40=0,H40=FALSE),"-",H40))</f>
        <v>Appel le 18/02, message laissé pour prise de nouvelles et proposition de RDV avec équipe sélection investissements. Création piste notée le 12/01. Pas de retour ni d'autres actions récentes. Prochaine étape : obtenir un RDV. Pas de feedback prospect sur fonds présentés à ce stade.</v>
      </c>
      <c r="J40" s="13">
</c>
      <c r="K40" s="9" t="s">
        <v>67</v>
      </c>
      <c r="L40" s="9" cm="1" t="str">
        <f t="array" ref="L40">IF(C40="","",IF(K40="Mort / Plus rien à faire","KO","OK"))</f>
        <v>OK</v>
      </c>
      <c r="M40" s="14">
        <v>46113.61194444444</v>
      </c>
      <c r="N40" s="14" cm="1" t="n">
        <f t="array" ref="N40">IF(OR(C40="",M40="",M40=0),"",M40)</f>
        <v>46113.61194444444</v>
      </c>
      <c r="O40" s="14">
</c>
      <c r="P40" s="14" cm="1" t="str">
        <f t="array" ref="P40">IF(C40="","",IF(OR(O40="",O40=0),"-",O40))</f>
        <v>-</v>
      </c>
      <c r="Q40" s="15">
        <v>0</v>
      </c>
      <c r="R40" s="9" cm="1" t="str">
        <f t="array" ref="R40">IF(C40="","",ROUND(Q40/1000000,3)&amp;" M€")</f>
        <v>0 M€</v>
      </c>
      <c r="S40" s="16">
        <v>10</v>
      </c>
      <c r="T40" s="9" cm="1" t="str">
        <f t="array" ref="T40">IF(C40="","",SUBSTITUTE(S40,"","")&amp;"%")</f>
        <v>10%</v>
      </c>
      <c r="U40" s="12" cm="1" t="str">
        <f t="array" ref="U40">IF(($N40="")*($P40=""),"",IF(($N40&lt;&gt;"")*($N40&gt;TODAY()-9)*($N40&lt;TODAY()+1)*($P40&lt;&gt;"")*($P40&gt;=TODAY())*($P40&lt;=TODAY()+13),"Semaine passée &amp; à venir",IF(($N40&lt;&gt;"")*($N40&gt;TODAY()-9)*($N40&lt;TODAY()+1),"Semaine passée",IF(($P40&lt;&gt;"")*($P40&gt;=TODAY())*($P40&lt;=TODAY()+13),"À venir","Autre"))))</f>
        <v>Semaine passée</v>
      </c>
      <c r="V40" cm="1" t="n">
        <f t="array" ref="V40">IF(C40&lt;&gt;"",1,0)</f>
        <v>1</v>
      </c>
    </row>
    <row r="41" ht="78.75" customHeight="1">
      <c r="A41" s="9" t="s">
        <v>23</v>
      </c>
      <c r="B41" s="9" t="s">
        <v>94</v>
      </c>
      <c r="C41" s="10" t="s">
        <v>150</v>
      </c>
      <c r="D41" s="11" t="s">
        <v>151</v>
      </c>
      <c r="E41" s="9" t="s">
        <v>26</v>
      </c>
      <c r="F41" s="13" t="s">
        <v>152</v>
      </c>
      <c r="G41" s="12" cm="1" t="str">
        <f t="array" ref="G41">IF(F41="","",SUBSTITUTE(SUBSTITUTE(SUBSTITUTE(SUBSTITUTE(F41,"&lt;li&gt;",CHAR(10)),"&lt;/li&gt;",""),"&lt;br&gt;",CHAR(10)),"&lt;strong&gt;",""))</f>
        <v>&lt;p&gt;Famille Dassault via Alexandre Hapern étudie investissement 1-3M€ dans le spatial, décision attendue mi-mars. Plusieurs échanges, relances et appels, dernier message laissé pour connaître l’avancement et perspectives Audacia. Prochaine étape : échange à prévoir, suivi actif en cours.&lt;/p&gt;</v>
      </c>
      <c r="H41" s="12" cm="1" t="str">
        <f t="array" ref="H41">IF(G41="","",SUBSTITUTE(SUBSTITUTE(SUBSTITUTE(SUBSTITUTE(SUBSTITUTE(G41,"&lt;p&gt;",""),"&lt;/p&gt;",""),"&lt;ul&gt;",""),"&lt;/ul&gt;",""),"&lt;/strong&gt;",""))</f>
        <v>Famille Dassault via Alexandre Hapern étudie investissement 1-3M€ dans le spatial, décision attendue mi-mars. Plusieurs échanges, relances et appels, dernier message laissé pour connaître l’avancement et perspectives Audacia. Prochaine étape : échange à prévoir, suivi actif en cours.</v>
      </c>
      <c r="I41" s="12" cm="1" t="str">
        <f t="array" ref="I41">IF(C41="","",IF(OR(H41="",H41=0,H41=FALSE),"-",H41))</f>
        <v>Famille Dassault via Alexandre Hapern étudie investissement 1-3M€ dans le spatial, décision attendue mi-mars. Plusieurs échanges, relances et appels, dernier message laissé pour connaître l’avancement et perspectives Audacia. Prochaine étape : échange à prévoir, suivi actif en cours.</v>
      </c>
      <c r="J41" s="13" t="s">
        <v>153</v>
      </c>
      <c r="K41" s="9" t="s">
        <v>46</v>
      </c>
      <c r="L41" s="9" cm="1" t="str">
        <f t="array" ref="L41">IF(C41="","",IF(K41="Mort / Plus rien à faire","KO","OK"))</f>
        <v>OK</v>
      </c>
      <c r="M41" s="14">
        <v>46108.69871527778</v>
      </c>
      <c r="N41" s="14" cm="1" t="n">
        <f t="array" ref="N41">IF(OR(C41="",M41="",M41=0),"",M41)</f>
        <v>46108.69871527778</v>
      </c>
      <c r="O41" s="14">
</c>
      <c r="P41" s="14" cm="1" t="str">
        <f t="array" ref="P41">IF(C41="","",IF(OR(O41="",O41=0),"-",O41))</f>
        <v>-</v>
      </c>
      <c r="Q41" s="15">
        <v>3000000</v>
      </c>
      <c r="R41" s="9" cm="1" t="str">
        <f t="array" ref="R41">IF(C41="","",ROUND(Q41/1000000,3)&amp;" M€")</f>
        <v>3 M€</v>
      </c>
      <c r="S41" s="16">
        <v>10</v>
      </c>
      <c r="T41" s="9" cm="1" t="str">
        <f t="array" ref="T41">IF(C41="","",SUBSTITUTE(S41,"","")&amp;"%")</f>
        <v>10%</v>
      </c>
      <c r="U41" s="12" cm="1" t="str">
        <f t="array" ref="U41">IF(($N41="")*($P41=""),"",IF(($N41&lt;&gt;"")*($N41&gt;TODAY()-9)*($N41&lt;TODAY()+1)*($P41&lt;&gt;"")*($P41&gt;=TODAY())*($P41&lt;=TODAY()+13),"Semaine passée &amp; à venir",IF(($N41&lt;&gt;"")*($N41&gt;TODAY()-9)*($N41&lt;TODAY()+1),"Semaine passée",IF(($P41&lt;&gt;"")*($P41&gt;=TODAY())*($P41&lt;=TODAY()+13),"À venir","Autre"))))</f>
        <v>Semaine passée</v>
      </c>
      <c r="V41" cm="1" t="n">
        <f t="array" ref="V41">IF(C41&lt;&gt;"",1,0)</f>
        <v>1</v>
      </c>
    </row>
    <row r="42" ht="78.75" customHeight="1">
      <c r="A42" s="9" t="s">
        <v>23</v>
      </c>
      <c r="B42" s="9" t="s">
        <v>84</v>
      </c>
      <c r="C42" s="10" t="s">
        <v>154</v>
      </c>
      <c r="D42" s="11" t="s">
        <v>155</v>
      </c>
      <c r="E42" s="9" t="s">
        <v>26</v>
      </c>
      <c r="F42" s="13" t="s">
        <v>156</v>
      </c>
      <c r="G42" s="12" cm="1" t="str">
        <f t="array" ref="G42">IF(F42="","",SUBSTITUTE(SUBSTITUTE(SUBSTITUTE(SUBSTITUTE(F42,"&lt;li&gt;",CHAR(10)),"&lt;/li&gt;",""),"&lt;br&gt;",CHAR(10)),"&lt;strong&gt;",""))</f>
        <v>&lt;p&gt;05/02/2026: Intérêt prospect pour solutions diversification, peu de dossiers remploi, prise de contact à organiser avec Charles. Lead créé pour équipe Ventes. Enrichissement lead impossible (email invalide). Prochaine étape&amp;nbsp;: fixer rendez-vous avec Charles. Pas d'autres actions récentes.&lt;/p&gt;</v>
      </c>
      <c r="H42" s="12" cm="1" t="str">
        <f t="array" ref="H42">IF(G42="","",SUBSTITUTE(SUBSTITUTE(SUBSTITUTE(SUBSTITUTE(SUBSTITUTE(G42,"&lt;p&gt;",""),"&lt;/p&gt;",""),"&lt;ul&gt;",""),"&lt;/ul&gt;",""),"&lt;/strong&gt;",""))</f>
        <v>05/02/2026: Intérêt prospect pour solutions diversification, peu de dossiers remploi, prise de contact à organiser avec Charles. Lead créé pour équipe Ventes. Enrichissement lead impossible (email invalide). Prochaine étape&amp;nbsp;: fixer rendez-vous avec Charles. Pas d'autres actions récentes.</v>
      </c>
      <c r="I42" s="12" cm="1" t="str">
        <f t="array" ref="I42">IF(C42="","",IF(OR(H42="",H42=0,H42=FALSE),"-",H42))</f>
        <v>05/02/2026: Intérêt prospect pour solutions diversification, peu de dossiers remploi, prise de contact à organiser avec Charles. Lead créé pour équipe Ventes. Enrichissement lead impossible (email invalide). Prochaine étape&amp;nbsp;: fixer rendez-vous avec Charles. Pas d'autres actions récentes.</v>
      </c>
      <c r="J42" s="13">
</c>
      <c r="K42" s="9" t="s">
        <v>46</v>
      </c>
      <c r="L42" s="9" cm="1" t="str">
        <f t="array" ref="L42">IF(C42="","",IF(K42="Mort / Plus rien à faire","KO","OK"))</f>
        <v>OK</v>
      </c>
      <c r="M42" s="14">
        <v>46094.75239583333</v>
      </c>
      <c r="N42" s="14" cm="1" t="n">
        <f t="array" ref="N42">IF(OR(C42="",M42="",M42=0),"",M42)</f>
        <v>46094.75239583333</v>
      </c>
      <c r="O42" s="14">
</c>
      <c r="P42" s="14" cm="1" t="str">
        <f t="array" ref="P42">IF(C42="","",IF(OR(O42="",O42=0),"-",O42))</f>
        <v>-</v>
      </c>
      <c r="Q42" s="15">
        <v>0</v>
      </c>
      <c r="R42" s="9" cm="1" t="str">
        <f t="array" ref="R42">IF(C42="","",ROUND(Q42/1000000,3)&amp;" M€")</f>
        <v>0 M€</v>
      </c>
      <c r="S42" s="16">
        <v>10</v>
      </c>
      <c r="T42" s="9" cm="1" t="str">
        <f t="array" ref="T42">IF(C42="","",SUBSTITUTE(S42,"","")&amp;"%")</f>
        <v>10%</v>
      </c>
      <c r="U42" s="12" cm="1" t="str">
        <f t="array" ref="U42">IF(($N42="")*($P42=""),"",IF(($N42&lt;&gt;"")*($N42&gt;TODAY()-9)*($N42&lt;TODAY()+1)*($P42&lt;&gt;"")*($P42&gt;=TODAY())*($P42&lt;=TODAY()+13),"Semaine passée &amp; à venir",IF(($N42&lt;&gt;"")*($N42&gt;TODAY()-9)*($N42&lt;TODAY()+1),"Semaine passée",IF(($P42&lt;&gt;"")*($P42&gt;=TODAY())*($P42&lt;=TODAY()+13),"À venir","Autre"))))</f>
        <v>Autre</v>
      </c>
      <c r="V42" cm="1" t="n">
        <f t="array" ref="V42">IF(C42&lt;&gt;"",1,0)</f>
        <v>1</v>
      </c>
    </row>
    <row r="43" ht="78.75" customHeight="1">
      <c r="A43" s="9" t="s">
        <v>23</v>
      </c>
      <c r="B43" s="9" t="s">
        <v>24</v>
      </c>
      <c r="C43" s="10" t="s">
        <v>157</v>
      </c>
      <c r="D43" s="11" t="s">
        <v>158</v>
      </c>
      <c r="E43" s="9" t="s">
        <v>26</v>
      </c>
      <c r="F43" s="13" t="s">
        <v>159</v>
      </c>
      <c r="G43" s="12" cm="1" t="str">
        <f t="array" ref="G43">IF(F43="","",SUBSTITUTE(SUBSTITUTE(SUBSTITUTE(SUBSTITUTE(F43,"&lt;li&gt;",CHAR(10)),"&lt;/li&gt;",""),"&lt;br&gt;",CHAR(10)),"&lt;strong&gt;",""))</f>
        <v>&lt;p&gt;Déjeuner Bourrienne CB, OPNF, RSC SAS avec Famille Derville. Mail de remerciement envoyé. Préparation dossier Straton et Spatial, prospects très intéressés. Participants : Charles, Olivier. Prochaine étape : finaliser dossier pour Straton et Spatial. Pas d'autres actions prévues à ce jour.&lt;/p&gt;</v>
      </c>
      <c r="H43" s="12" cm="1" t="str">
        <f t="array" ref="H43">IF(G43="","",SUBSTITUTE(SUBSTITUTE(SUBSTITUTE(SUBSTITUTE(SUBSTITUTE(G43,"&lt;p&gt;",""),"&lt;/p&gt;",""),"&lt;ul&gt;",""),"&lt;/ul&gt;",""),"&lt;/strong&gt;",""))</f>
        <v>Déjeuner Bourrienne CB, OPNF, RSC SAS avec Famille Derville. Mail de remerciement envoyé. Préparation dossier Straton et Spatial, prospects très intéressés. Participants : Charles, Olivier. Prochaine étape : finaliser dossier pour Straton et Spatial. Pas d'autres actions prévues à ce jour.</v>
      </c>
      <c r="I43" s="12" cm="1" t="str">
        <f t="array" ref="I43">IF(C43="","",IF(OR(H43="",H43=0,H43=FALSE),"-",H43))</f>
        <v>Déjeuner Bourrienne CB, OPNF, RSC SAS avec Famille Derville. Mail de remerciement envoyé. Préparation dossier Straton et Spatial, prospects très intéressés. Participants : Charles, Olivier. Prochaine étape : finaliser dossier pour Straton et Spatial. Pas d'autres actions prévues à ce jour.</v>
      </c>
      <c r="J43" s="13" t="s">
        <v>160</v>
      </c>
      <c r="K43" s="9" t="s">
        <v>46</v>
      </c>
      <c r="L43" s="9" cm="1" t="str">
        <f t="array" ref="L43">IF(C43="","",IF(K43="Mort / Plus rien à faire","KO","OK"))</f>
        <v>OK</v>
      </c>
      <c r="M43" s="14">
        <v>46108.69537037037</v>
      </c>
      <c r="N43" s="14" cm="1" t="n">
        <f t="array" ref="N43">IF(OR(C43="",M43="",M43=0),"",M43)</f>
        <v>46108.69537037037</v>
      </c>
      <c r="O43" s="14">
</c>
      <c r="P43" s="14" cm="1" t="str">
        <f t="array" ref="P43">IF(C43="","",IF(OR(O43="",O43=0),"-",O43))</f>
        <v>-</v>
      </c>
      <c r="Q43" s="15">
        <v>0</v>
      </c>
      <c r="R43" s="9" cm="1" t="str">
        <f t="array" ref="R43">IF(C43="","",ROUND(Q43/1000000,3)&amp;" M€")</f>
        <v>0 M€</v>
      </c>
      <c r="S43" s="16">
        <v>10</v>
      </c>
      <c r="T43" s="9" cm="1" t="str">
        <f t="array" ref="T43">IF(C43="","",SUBSTITUTE(S43,"","")&amp;"%")</f>
        <v>10%</v>
      </c>
      <c r="U43" s="12" cm="1" t="str">
        <f t="array" ref="U43">IF(($N43="")*($P43=""),"",IF(($N43&lt;&gt;"")*($N43&gt;TODAY()-9)*($N43&lt;TODAY()+1)*($P43&lt;&gt;"")*($P43&gt;=TODAY())*($P43&lt;=TODAY()+13),"Semaine passée &amp; à venir",IF(($N43&lt;&gt;"")*($N43&gt;TODAY()-9)*($N43&lt;TODAY()+1),"Semaine passée",IF(($P43&lt;&gt;"")*($P43&gt;=TODAY())*($P43&lt;=TODAY()+13),"À venir","Autre"))))</f>
        <v>Semaine passée</v>
      </c>
      <c r="V43" cm="1" t="n">
        <f t="array" ref="V43">IF(C43&lt;&gt;"",1,0)</f>
        <v>1</v>
      </c>
    </row>
    <row r="44" ht="78.75" customHeight="1">
      <c r="A44" s="9" t="s">
        <v>23</v>
      </c>
      <c r="B44" s="9" t="s">
        <v>161</v>
      </c>
      <c r="C44" s="10" t="s">
        <v>162</v>
      </c>
      <c r="D44" s="11" t="s">
        <v>163</v>
      </c>
      <c r="E44" s="9" t="s">
        <v>59</v>
      </c>
      <c r="F44" s="13" t="s">
        <v>164</v>
      </c>
      <c r="G44" s="12" cm="1" t="str">
        <f t="array" ref="G44">IF(F44="","",SUBSTITUTE(SUBSTITUTE(SUBSTITUTE(SUBSTITUTE(F44,"&lt;li&gt;",CHAR(10)),"&lt;/li&gt;",""),"&lt;br&gt;",CHAR(10)),"&lt;strong&gt;",""))</f>
        <v>&lt;p&gt;RDV physique 20/02 : LMCapital, ambiance familiale, relation client non confiée à Paul-Louis, expansion freinée par familles, focus clients externes, Lausanne/Genève. PL Vautrot quitte LMCapital, à relancer après son mariage/nouveau job fin mai. Prochain RDV prévu 17/04.&lt;/p&gt;</v>
      </c>
      <c r="H44" s="12" cm="1" t="str">
        <f t="array" ref="H44">IF(G44="","",SUBSTITUTE(SUBSTITUTE(SUBSTITUTE(SUBSTITUTE(SUBSTITUTE(G44,"&lt;p&gt;",""),"&lt;/p&gt;",""),"&lt;ul&gt;",""),"&lt;/ul&gt;",""),"&lt;/strong&gt;",""))</f>
        <v>RDV physique 20/02 : LMCapital, ambiance familiale, relation client non confiée à Paul-Louis, expansion freinée par familles, focus clients externes, Lausanne/Genève. PL Vautrot quitte LMCapital, à relancer après son mariage/nouveau job fin mai. Prochain RDV prévu 17/04.</v>
      </c>
      <c r="I44" s="12" cm="1" t="str">
        <f t="array" ref="I44">IF(C44="","",IF(OR(H44="",H44=0,H44=FALSE),"-",H44))</f>
        <v>RDV physique 20/02 : LMCapital, ambiance familiale, relation client non confiée à Paul-Louis, expansion freinée par familles, focus clients externes, Lausanne/Genève. PL Vautrot quitte LMCapital, à relancer après son mariage/nouveau job fin mai. Prochain RDV prévu 17/04.</v>
      </c>
      <c r="J44" s="13" t="s">
        <v>165</v>
      </c>
      <c r="K44" s="9" t="s">
        <v>46</v>
      </c>
      <c r="L44" s="9" cm="1" t="str">
        <f t="array" ref="L44">IF(C44="","",IF(K44="Mort / Plus rien à faire","KO","OK"))</f>
        <v>OK</v>
      </c>
      <c r="M44" s="14">
        <v>46090.71244212963</v>
      </c>
      <c r="N44" s="14" cm="1" t="n">
        <f t="array" ref="N44">IF(OR(C44="",M44="",M44=0),"",M44)</f>
        <v>46090.71244212963</v>
      </c>
      <c r="O44" s="14">
        <v>46129.083333333336</v>
      </c>
      <c r="P44" s="14" cm="1" t="n">
        <f t="array" ref="P44">IF(C44="","",IF(OR(O44="",O44=0),"-",O44))</f>
        <v>46129.083333333336</v>
      </c>
      <c r="Q44" s="15">
        <v>0</v>
      </c>
      <c r="R44" s="9" cm="1" t="str">
        <f t="array" ref="R44">IF(C44="","",ROUND(Q44/1000000,3)&amp;" M€")</f>
        <v>0 M€</v>
      </c>
      <c r="S44" s="16">
        <v>10</v>
      </c>
      <c r="T44" s="9" cm="1" t="str">
        <f t="array" ref="T44">IF(C44="","",SUBSTITUTE(S44,"","")&amp;"%")</f>
        <v>10%</v>
      </c>
      <c r="U44" s="12" cm="1" t="str">
        <f t="array" ref="U44">IF(($N44="")*($P44=""),"",IF(($N44&lt;&gt;"")*($N44&gt;TODAY()-9)*($N44&lt;TODAY()+1)*($P44&lt;&gt;"")*($P44&gt;=TODAY())*($P44&lt;=TODAY()+13),"Semaine passée &amp; à venir",IF(($N44&lt;&gt;"")*($N44&gt;TODAY()-9)*($N44&lt;TODAY()+1),"Semaine passée",IF(($P44&lt;&gt;"")*($P44&gt;=TODAY())*($P44&lt;=TODAY()+13),"À venir","Autre"))))</f>
        <v>Autre</v>
      </c>
      <c r="V44" cm="1" t="n">
        <f t="array" ref="V44">IF(C44&lt;&gt;"",1,0)</f>
        <v>1</v>
      </c>
    </row>
    <row r="45" ht="78.75" customHeight="1">
      <c r="A45" s="9" t="s">
        <v>23</v>
      </c>
      <c r="B45" s="9" t="s">
        <v>166</v>
      </c>
      <c r="C45" s="10" t="s">
        <v>167</v>
      </c>
      <c r="D45" s="11" t="s">
        <v>168</v>
      </c>
      <c r="E45" s="9" t="s">
        <v>26</v>
      </c>
      <c r="F45" s="13" t="s">
        <v>169</v>
      </c>
      <c r="G45" s="12" cm="1" t="str">
        <f t="array" ref="G45">IF(F45="","",SUBSTITUTE(SUBSTITUTE(SUBSTITUTE(SUBSTITUTE(F45,"&lt;li&gt;",CHAR(10)),"&lt;/li&gt;",""),"&lt;br&gt;",CHAR(10)),"&lt;strong&gt;",""))</f>
        <v>&lt;p&gt;25/02/2026 : relance Arkwood Avocats pour dossier remploi, contact tél pris. 28/01 : présentation fonds Audacia, prospect intéressé mais occupé par études d'expatriation, enverra dossiers plus tard. 06/03 : relance, prospect toujours très occupé. Prochaine étape : prise de news.&lt;/p&gt;</v>
      </c>
      <c r="H45" s="12" cm="1" t="str">
        <f t="array" ref="H45">IF(G45="","",SUBSTITUTE(SUBSTITUTE(SUBSTITUTE(SUBSTITUTE(SUBSTITUTE(G45,"&lt;p&gt;",""),"&lt;/p&gt;",""),"&lt;ul&gt;",""),"&lt;/ul&gt;",""),"&lt;/strong&gt;",""))</f>
        <v>25/02/2026 : relance Arkwood Avocats pour dossier remploi, contact tél pris. 28/01 : présentation fonds Audacia, prospect intéressé mais occupé par études d'expatriation, enverra dossiers plus tard. 06/03 : relance, prospect toujours très occupé. Prochaine étape : prise de news.</v>
      </c>
      <c r="I45" s="12" cm="1" t="str">
        <f t="array" ref="I45">IF(C45="","",IF(OR(H45="",H45=0,H45=FALSE),"-",H45))</f>
        <v>25/02/2026 : relance Arkwood Avocats pour dossier remploi, contact tél pris. 28/01 : présentation fonds Audacia, prospect intéressé mais occupé par études d'expatriation, enverra dossiers plus tard. 06/03 : relance, prospect toujours très occupé. Prochaine étape : prise de news.</v>
      </c>
      <c r="J45" s="13" t="s">
        <v>170</v>
      </c>
      <c r="K45" s="9" t="s">
        <v>46</v>
      </c>
      <c r="L45" s="9" cm="1" t="str">
        <f t="array" ref="L45">IF(C45="","",IF(K45="Mort / Plus rien à faire","KO","OK"))</f>
        <v>OK</v>
      </c>
      <c r="M45" s="14">
        <v>46086.7059375</v>
      </c>
      <c r="N45" s="14" cm="1" t="n">
        <f t="array" ref="N45">IF(OR(C45="",M45="",M45=0),"",M45)</f>
        <v>46086.7059375</v>
      </c>
      <c r="O45" s="14">
</c>
      <c r="P45" s="14" cm="1" t="str">
        <f t="array" ref="P45">IF(C45="","",IF(OR(O45="",O45=0),"-",O45))</f>
        <v>-</v>
      </c>
      <c r="Q45" s="15">
        <v>0</v>
      </c>
      <c r="R45" s="9" cm="1" t="str">
        <f t="array" ref="R45">IF(C45="","",ROUND(Q45/1000000,3)&amp;" M€")</f>
        <v>0 M€</v>
      </c>
      <c r="S45" s="16">
        <v>10</v>
      </c>
      <c r="T45" s="9" cm="1" t="str">
        <f t="array" ref="T45">IF(C45="","",SUBSTITUTE(S45,"","")&amp;"%")</f>
        <v>10%</v>
      </c>
      <c r="U45" s="12" cm="1" t="str">
        <f t="array" ref="U45">IF(($N45="")*($P45=""),"",IF(($N45&lt;&gt;"")*($N45&gt;TODAY()-9)*($N45&lt;TODAY()+1)*($P45&lt;&gt;"")*($P45&gt;=TODAY())*($P45&lt;=TODAY()+13),"Semaine passée &amp; à venir",IF(($N45&lt;&gt;"")*($N45&gt;TODAY()-9)*($N45&lt;TODAY()+1),"Semaine passée",IF(($P45&lt;&gt;"")*($P45&gt;=TODAY())*($P45&lt;=TODAY()+13),"À venir","Autre"))))</f>
        <v>Autre</v>
      </c>
      <c r="V45" cm="1" t="n">
        <f t="array" ref="V45">IF(C45&lt;&gt;"",1,0)</f>
        <v>1</v>
      </c>
    </row>
    <row r="46" ht="78.75" customHeight="1">
      <c r="A46" s="9" t="s">
        <v>23</v>
      </c>
      <c r="B46" s="9" t="s">
        <v>171</v>
      </c>
      <c r="C46" s="10" t="s">
        <v>172</v>
      </c>
      <c r="D46" s="11" t="s">
        <v>173</v>
      </c>
      <c r="E46" s="9" t="s">
        <v>26</v>
      </c>
      <c r="F46" s="13" t="s">
        <v>174</v>
      </c>
      <c r="G46" s="12" cm="1" t="str">
        <f t="array" ref="G46">IF(F46="","",SUBSTITUTE(SUBSTITUTE(SUBSTITUTE(SUBSTITUTE(F46,"&lt;li&gt;",CHAR(10)),"&lt;/li&gt;",""),"&lt;br&gt;",CHAR(10)),"&lt;strong&gt;",""))</f>
        <v>&lt;p&gt;03/02/2026: Point offre remploi. Prévu: petit-déjeuner fonds remploi/deeptech. Tentative d'enrichissement lead échouée (email invalide). Nouvelle piste créée pour équipe Ventes. Prochaine étape: organiser petit-déjeuner thématique. Pas de retour prospect sur fonds à ce stade.&lt;/p&gt;</v>
      </c>
      <c r="H46" s="12" cm="1" t="str">
        <f t="array" ref="H46">IF(G46="","",SUBSTITUTE(SUBSTITUTE(SUBSTITUTE(SUBSTITUTE(SUBSTITUTE(G46,"&lt;p&gt;",""),"&lt;/p&gt;",""),"&lt;ul&gt;",""),"&lt;/ul&gt;",""),"&lt;/strong&gt;",""))</f>
        <v>03/02/2026: Point offre remploi. Prévu: petit-déjeuner fonds remploi/deeptech. Tentative d'enrichissement lead échouée (email invalide). Nouvelle piste créée pour équipe Ventes. Prochaine étape: organiser petit-déjeuner thématique. Pas de retour prospect sur fonds à ce stade.</v>
      </c>
      <c r="I46" s="12" cm="1" t="str">
        <f t="array" ref="I46">IF(C46="","",IF(OR(H46="",H46=0,H46=FALSE),"-",H46))</f>
        <v>03/02/2026: Point offre remploi. Prévu: petit-déjeuner fonds remploi/deeptech. Tentative d'enrichissement lead échouée (email invalide). Nouvelle piste créée pour équipe Ventes. Prochaine étape: organiser petit-déjeuner thématique. Pas de retour prospect sur fonds à ce stade.</v>
      </c>
      <c r="J46" s="13">
</c>
      <c r="K46" s="9" t="s">
        <v>46</v>
      </c>
      <c r="L46" s="9" cm="1" t="str">
        <f t="array" ref="L46">IF(C46="","",IF(K46="Mort / Plus rien à faire","KO","OK"))</f>
        <v>OK</v>
      </c>
      <c r="M46" s="14">
        <v>46063.47033564815</v>
      </c>
      <c r="N46" s="14" cm="1" t="n">
        <f t="array" ref="N46">IF(OR(C46="",M46="",M46=0),"",M46)</f>
        <v>46063.47033564815</v>
      </c>
      <c r="O46" s="14">
</c>
      <c r="P46" s="14" cm="1" t="str">
        <f t="array" ref="P46">IF(C46="","",IF(OR(O46="",O46=0),"-",O46))</f>
        <v>-</v>
      </c>
      <c r="Q46" s="15">
        <v>0</v>
      </c>
      <c r="R46" s="9" cm="1" t="str">
        <f t="array" ref="R46">IF(C46="","",ROUND(Q46/1000000,3)&amp;" M€")</f>
        <v>0 M€</v>
      </c>
      <c r="S46" s="16">
        <v>10</v>
      </c>
      <c r="T46" s="9" cm="1" t="str">
        <f t="array" ref="T46">IF(C46="","",SUBSTITUTE(S46,"","")&amp;"%")</f>
        <v>10%</v>
      </c>
      <c r="U46" s="12" cm="1" t="str">
        <f t="array" ref="U46">IF(($N46="")*($P46=""),"",IF(($N46&lt;&gt;"")*($N46&gt;TODAY()-9)*($N46&lt;TODAY()+1)*($P46&lt;&gt;"")*($P46&gt;=TODAY())*($P46&lt;=TODAY()+13),"Semaine passée &amp; à venir",IF(($N46&lt;&gt;"")*($N46&gt;TODAY()-9)*($N46&lt;TODAY()+1),"Semaine passée",IF(($P46&lt;&gt;"")*($P46&gt;=TODAY())*($P46&lt;=TODAY()+13),"À venir","Autre"))))</f>
        <v>Autre</v>
      </c>
      <c r="V46" cm="1" t="n">
        <f t="array" ref="V46">IF(C46&lt;&gt;"",1,0)</f>
        <v>1</v>
      </c>
    </row>
    <row r="47" ht="78.75" customHeight="1">
      <c r="A47" s="9" t="s">
        <v>23</v>
      </c>
      <c r="B47" s="9" t="s">
        <v>24</v>
      </c>
      <c r="C47" s="10" t="s">
        <v>175</v>
      </c>
      <c r="D47" s="11" t="s">
        <v>175</v>
      </c>
      <c r="E47" s="9" t="s">
        <v>26</v>
      </c>
      <c r="F47" s="13" t="s">
        <v>176</v>
      </c>
      <c r="G47" s="12" cm="1" t="str">
        <f t="array" ref="G47">IF(F47="","",SUBSTITUTE(SUBSTITUTE(SUBSTITUTE(SUBSTITUTE(F47,"&lt;li&gt;",CHAR(10)),"&lt;/li&gt;",""),"&lt;br&gt;",CHAR(10)),"&lt;strong&gt;",""))</f>
        <v>&lt;p&gt;RDV physique réalisé pour fonds XXXX avec prospect, échanges synthétisés mais détails non précisés. Prochaines étapes mentionnées mais non détaillées. Aucune activité récente, pas de retour explicite du prospect sur les fonds. Nouvelle piste créée pour équipe Ventes. Pas d'autres actions récentes.&lt;/p&gt;</v>
      </c>
      <c r="H47" s="12" cm="1" t="str">
        <f t="array" ref="H47">IF(G47="","",SUBSTITUTE(SUBSTITUTE(SUBSTITUTE(SUBSTITUTE(SUBSTITUTE(G47,"&lt;p&gt;",""),"&lt;/p&gt;",""),"&lt;ul&gt;",""),"&lt;/ul&gt;",""),"&lt;/strong&gt;",""))</f>
        <v>RDV physique réalisé pour fonds XXXX avec prospect, échanges synthétisés mais détails non précisés. Prochaines étapes mentionnées mais non détaillées. Aucune activité récente, pas de retour explicite du prospect sur les fonds. Nouvelle piste créée pour équipe Ventes. Pas d'autres actions récentes.</v>
      </c>
      <c r="I47" s="12" cm="1" t="str">
        <f t="array" ref="I47">IF(C47="","",IF(OR(H47="",H47=0,H47=FALSE),"-",H47))</f>
        <v>RDV physique réalisé pour fonds XXXX avec prospect, échanges synthétisés mais détails non précisés. Prochaines étapes mentionnées mais non détaillées. Aucune activité récente, pas de retour explicite du prospect sur les fonds. Nouvelle piste créée pour équipe Ventes. Pas d'autres actions récentes.</v>
      </c>
      <c r="J47" s="13">
</c>
      <c r="K47" s="9" t="s">
        <v>67</v>
      </c>
      <c r="L47" s="9" cm="1" t="str">
        <f t="array" ref="L47">IF(C47="","",IF(K47="Mort / Plus rien à faire","KO","OK"))</f>
        <v>OK</v>
      </c>
      <c r="M47" s="14">
        <v>46056.49076388889</v>
      </c>
      <c r="N47" s="14" cm="1" t="n">
        <f t="array" ref="N47">IF(OR(C47="",M47="",M47=0),"",M47)</f>
        <v>46056.49076388889</v>
      </c>
      <c r="O47" s="14">
</c>
      <c r="P47" s="14" cm="1" t="str">
        <f t="array" ref="P47">IF(C47="","",IF(OR(O47="",O47=0),"-",O47))</f>
        <v>-</v>
      </c>
      <c r="Q47" s="15">
        <v>0</v>
      </c>
      <c r="R47" s="9" cm="1" t="str">
        <f t="array" ref="R47">IF(C47="","",ROUND(Q47/1000000,3)&amp;" M€")</f>
        <v>0 M€</v>
      </c>
      <c r="S47" s="16">
        <v>10</v>
      </c>
      <c r="T47" s="9" cm="1" t="str">
        <f t="array" ref="T47">IF(C47="","",SUBSTITUTE(S47,"","")&amp;"%")</f>
        <v>10%</v>
      </c>
      <c r="U47" s="12" cm="1" t="str">
        <f t="array" ref="U47">IF(($N47="")*($P47=""),"",IF(($N47&lt;&gt;"")*($N47&gt;TODAY()-9)*($N47&lt;TODAY()+1)*($P47&lt;&gt;"")*($P47&gt;=TODAY())*($P47&lt;=TODAY()+13),"Semaine passée &amp; à venir",IF(($N47&lt;&gt;"")*($N47&gt;TODAY()-9)*($N47&lt;TODAY()+1),"Semaine passée",IF(($P47&lt;&gt;"")*($P47&gt;=TODAY())*($P47&lt;=TODAY()+13),"À venir","Autre"))))</f>
        <v>Autre</v>
      </c>
      <c r="V47" cm="1" t="n">
        <f t="array" ref="V47">IF(C47&lt;&gt;"",1,0)</f>
        <v>1</v>
      </c>
    </row>
    <row r="48" ht="78.75" customHeight="1">
      <c r="A48" s="9" t="s">
        <v>23</v>
      </c>
      <c r="B48" s="9" t="s">
        <v>40</v>
      </c>
      <c r="C48" s="10" t="s">
        <v>177</v>
      </c>
      <c r="D48" s="11" t="s">
        <v>178</v>
      </c>
      <c r="E48" s="9" t="s">
        <v>26</v>
      </c>
      <c r="F48" s="13" t="s">
        <v>179</v>
      </c>
      <c r="G48" s="12" cm="1" t="str">
        <f t="array" ref="G48">IF(F48="","",SUBSTITUTE(SUBSTITUTE(SUBSTITUTE(SUBSTITUTE(F48,"&lt;li&gt;",CHAR(10)),"&lt;/li&gt;",""),"&lt;br&gt;",CHAR(10)),"&lt;strong&gt;",""))</f>
        <v>&lt;p&gt;25/02/26 café avec Directeur Cheval Blanc Patrimoine CGP Paris 16, présentation offre globale. Pas d'intérêt immédiat, préfère fonds de dette privés, réticent sur fonds fiscaux (mauvaise réputation). 28/01/26 call vœux, perspectives clients, info collecte FCPI Wind. Pas d'action future prévue.&lt;/p&gt;</v>
      </c>
      <c r="H48" s="12" cm="1" t="str">
        <f t="array" ref="H48">IF(G48="","",SUBSTITUTE(SUBSTITUTE(SUBSTITUTE(SUBSTITUTE(SUBSTITUTE(G48,"&lt;p&gt;",""),"&lt;/p&gt;",""),"&lt;ul&gt;",""),"&lt;/ul&gt;",""),"&lt;/strong&gt;",""))</f>
        <v>25/02/26 café avec Directeur Cheval Blanc Patrimoine CGP Paris 16, présentation offre globale. Pas d'intérêt immédiat, préfère fonds de dette privés, réticent sur fonds fiscaux (mauvaise réputation). 28/01/26 call vœux, perspectives clients, info collecte FCPI Wind. Pas d'action future prévue.</v>
      </c>
      <c r="I48" s="12" cm="1" t="str">
        <f t="array" ref="I48">IF(C48="","",IF(OR(H48="",H48=0,H48=FALSE),"-",H48))</f>
        <v>25/02/26 café avec Directeur Cheval Blanc Patrimoine CGP Paris 16, présentation offre globale. Pas d'intérêt immédiat, préfère fonds de dette privés, réticent sur fonds fiscaux (mauvaise réputation). 28/01/26 call vœux, perspectives clients, info collecte FCPI Wind. Pas d'action future prévue.</v>
      </c>
      <c r="J48" s="13">
</c>
      <c r="K48" s="9" t="s">
        <v>46</v>
      </c>
      <c r="L48" s="9" cm="1" t="str">
        <f t="array" ref="L48">IF(C48="","",IF(K48="Mort / Plus rien à faire","KO","OK"))</f>
        <v>OK</v>
      </c>
      <c r="M48" s="14">
        <v>46083.467465277776</v>
      </c>
      <c r="N48" s="14" cm="1" t="n">
        <f t="array" ref="N48">IF(OR(C48="",M48="",M48=0),"",M48)</f>
        <v>46083.467465277776</v>
      </c>
      <c r="O48" s="14">
</c>
      <c r="P48" s="14" cm="1" t="str">
        <f t="array" ref="P48">IF(C48="","",IF(OR(O48="",O48=0),"-",O48))</f>
        <v>-</v>
      </c>
      <c r="Q48" s="15">
        <v>0</v>
      </c>
      <c r="R48" s="9" cm="1" t="str">
        <f t="array" ref="R48">IF(C48="","",ROUND(Q48/1000000,3)&amp;" M€")</f>
        <v>0 M€</v>
      </c>
      <c r="S48" s="16">
        <v>10</v>
      </c>
      <c r="T48" s="9" cm="1" t="str">
        <f t="array" ref="T48">IF(C48="","",SUBSTITUTE(S48,"","")&amp;"%")</f>
        <v>10%</v>
      </c>
      <c r="U48" s="12" cm="1" t="str">
        <f t="array" ref="U48">IF(($N48="")*($P48=""),"",IF(($N48&lt;&gt;"")*($N48&gt;TODAY()-9)*($N48&lt;TODAY()+1)*($P48&lt;&gt;"")*($P48&gt;=TODAY())*($P48&lt;=TODAY()+13),"Semaine passée &amp; à venir",IF(($N48&lt;&gt;"")*($N48&gt;TODAY()-9)*($N48&lt;TODAY()+1),"Semaine passée",IF(($P48&lt;&gt;"")*($P48&gt;=TODAY())*($P48&lt;=TODAY()+13),"À venir","Autre"))))</f>
        <v>Autre</v>
      </c>
      <c r="V48" cm="1" t="n">
        <f t="array" ref="V48">IF(C48&lt;&gt;"",1,0)</f>
        <v>1</v>
      </c>
    </row>
    <row r="49" ht="78.75" customHeight="1">
      <c r="A49" s="9" t="s">
        <v>23</v>
      </c>
      <c r="B49" s="9" t="s">
        <v>40</v>
      </c>
      <c r="C49" s="10" t="s">
        <v>180</v>
      </c>
      <c r="D49" s="11" t="s">
        <v>181</v>
      </c>
      <c r="E49" s="9" t="s">
        <v>26</v>
      </c>
      <c r="F49" s="13" t="s">
        <v>182</v>
      </c>
      <c r="G49" s="12" cm="1" t="str">
        <f t="array" ref="G49">IF(F49="","",SUBSTITUTE(SUBSTITUTE(SUBSTITUTE(SUBSTITUTE(F49,"&lt;li&gt;",CHAR(10)),"&lt;/li&gt;",""),"&lt;br&gt;",CHAR(10)),"&lt;strong&gt;",""))</f>
        <v>&lt;p&gt;Piste créée équipe Ventes. Enrichissement lead impossible (email invalide). Action prévue&amp;nbsp;: organiser petit déjeuner avec clients. Pas d'autres activités ni retours prospects sur fonds. Prochaine étape&amp;nbsp;: planification petit déjeuner. Aucun passage en comité mentionné.&lt;/p&gt;</v>
      </c>
      <c r="H49" s="12" cm="1" t="str">
        <f t="array" ref="H49">IF(G49="","",SUBSTITUTE(SUBSTITUTE(SUBSTITUTE(SUBSTITUTE(SUBSTITUTE(G49,"&lt;p&gt;",""),"&lt;/p&gt;",""),"&lt;ul&gt;",""),"&lt;/ul&gt;",""),"&lt;/strong&gt;",""))</f>
        <v>Piste créée équipe Ventes. Enrichissement lead impossible (email invalide). Action prévue&amp;nbsp;: organiser petit déjeuner avec clients. Pas d'autres activités ni retours prospects sur fonds. Prochaine étape&amp;nbsp;: planification petit déjeuner. Aucun passage en comité mentionné.</v>
      </c>
      <c r="I49" s="12" cm="1" t="str">
        <f t="array" ref="I49">IF(C49="","",IF(OR(H49="",H49=0,H49=FALSE),"-",H49))</f>
        <v>Piste créée équipe Ventes. Enrichissement lead impossible (email invalide). Action prévue&amp;nbsp;: organiser petit déjeuner avec clients. Pas d'autres activités ni retours prospects sur fonds. Prochaine étape&amp;nbsp;: planification petit déjeuner. Aucun passage en comité mentionné.</v>
      </c>
      <c r="J49" s="13">
</c>
      <c r="K49" s="9" t="s">
        <v>46</v>
      </c>
      <c r="L49" s="9" cm="1" t="str">
        <f t="array" ref="L49">IF(C49="","",IF(K49="Mort / Plus rien à faire","KO","OK"))</f>
        <v>OK</v>
      </c>
      <c r="M49" s="14">
        <v>46050.6997337963</v>
      </c>
      <c r="N49" s="14" cm="1" t="n">
        <f t="array" ref="N49">IF(OR(C49="",M49="",M49=0),"",M49)</f>
        <v>46050.6997337963</v>
      </c>
      <c r="O49" s="14">
</c>
      <c r="P49" s="14" cm="1" t="str">
        <f t="array" ref="P49">IF(C49="","",IF(OR(O49="",O49=0),"-",O49))</f>
        <v>-</v>
      </c>
      <c r="Q49" s="15">
        <v>0</v>
      </c>
      <c r="R49" s="9" cm="1" t="str">
        <f t="array" ref="R49">IF(C49="","",ROUND(Q49/1000000,3)&amp;" M€")</f>
        <v>0 M€</v>
      </c>
      <c r="S49" s="16">
        <v>10</v>
      </c>
      <c r="T49" s="9" cm="1" t="str">
        <f t="array" ref="T49">IF(C49="","",SUBSTITUTE(S49,"","")&amp;"%")</f>
        <v>10%</v>
      </c>
      <c r="U49" s="12" cm="1" t="str">
        <f t="array" ref="U49">IF(($N49="")*($P49=""),"",IF(($N49&lt;&gt;"")*($N49&gt;TODAY()-9)*($N49&lt;TODAY()+1)*($P49&lt;&gt;"")*($P49&gt;=TODAY())*($P49&lt;=TODAY()+13),"Semaine passée &amp; à venir",IF(($N49&lt;&gt;"")*($N49&gt;TODAY()-9)*($N49&lt;TODAY()+1),"Semaine passée",IF(($P49&lt;&gt;"")*($P49&gt;=TODAY())*($P49&lt;=TODAY()+13),"À venir","Autre"))))</f>
        <v>Autre</v>
      </c>
      <c r="V49" cm="1" t="n">
        <f t="array" ref="V49">IF(C49&lt;&gt;"",1,0)</f>
        <v>1</v>
      </c>
    </row>
    <row r="50" ht="78.75" customHeight="1">
      <c r="A50" s="9" t="s">
        <v>23</v>
      </c>
      <c r="B50" s="9" t="s">
        <v>29</v>
      </c>
      <c r="C50" s="10" t="s">
        <v>183</v>
      </c>
      <c r="D50" s="11" t="s">
        <v>184</v>
      </c>
      <c r="E50" s="9" t="s">
        <v>26</v>
      </c>
      <c r="F50" s="13" t="s">
        <v>185</v>
      </c>
      <c r="G50" s="12" cm="1" t="str">
        <f t="array" ref="G50">IF(F50="","",SUBSTITUTE(SUBSTITUTE(SUBSTITUTE(SUBSTITUTE(F50,"&lt;li&gt;",CHAR(10)),"&lt;/li&gt;",""),"&lt;br&gt;",CHAR(10)),"&lt;strong&gt;",""))</f>
        <v>&lt;p&gt;Point fonds deeptech et remploi clients évoqué 28/01. Tentative enrichissement lead échouée (email invalide). Nouvelle piste créée équipe Ventes. Pas d'activité ou d'échange prospect/équipe détecté depuis, ni prochaines étapes identifiées.&lt;/p&gt;</v>
      </c>
      <c r="H50" s="12" cm="1" t="str">
        <f t="array" ref="H50">IF(G50="","",SUBSTITUTE(SUBSTITUTE(SUBSTITUTE(SUBSTITUTE(SUBSTITUTE(G50,"&lt;p&gt;",""),"&lt;/p&gt;",""),"&lt;ul&gt;",""),"&lt;/ul&gt;",""),"&lt;/strong&gt;",""))</f>
        <v>Point fonds deeptech et remploi clients évoqué 28/01. Tentative enrichissement lead échouée (email invalide). Nouvelle piste créée équipe Ventes. Pas d'activité ou d'échange prospect/équipe détecté depuis, ni prochaines étapes identifiées.</v>
      </c>
      <c r="I50" s="12" cm="1" t="str">
        <f t="array" ref="I50">IF(C50="","",IF(OR(H50="",H50=0,H50=FALSE),"-",H50))</f>
        <v>Point fonds deeptech et remploi clients évoqué 28/01. Tentative enrichissement lead échouée (email invalide). Nouvelle piste créée équipe Ventes. Pas d'activité ou d'échange prospect/équipe détecté depuis, ni prochaines étapes identifiées.</v>
      </c>
      <c r="J50" s="13">
</c>
      <c r="K50" s="9" t="s">
        <v>46</v>
      </c>
      <c r="L50" s="9" cm="1" t="str">
        <f t="array" ref="L50">IF(C50="","",IF(K50="Mort / Plus rien à faire","KO","OK"))</f>
        <v>OK</v>
      </c>
      <c r="M50" s="14">
        <v>46050.695381944446</v>
      </c>
      <c r="N50" s="14" cm="1" t="n">
        <f t="array" ref="N50">IF(OR(C50="",M50="",M50=0),"",M50)</f>
        <v>46050.695381944446</v>
      </c>
      <c r="O50" s="14">
</c>
      <c r="P50" s="14" cm="1" t="str">
        <f t="array" ref="P50">IF(C50="","",IF(OR(O50="",O50=0),"-",O50))</f>
        <v>-</v>
      </c>
      <c r="Q50" s="15">
        <v>0</v>
      </c>
      <c r="R50" s="9" cm="1" t="str">
        <f t="array" ref="R50">IF(C50="","",ROUND(Q50/1000000,3)&amp;" M€")</f>
        <v>0 M€</v>
      </c>
      <c r="S50" s="16">
        <v>10</v>
      </c>
      <c r="T50" s="9" cm="1" t="str">
        <f t="array" ref="T50">IF(C50="","",SUBSTITUTE(S50,"","")&amp;"%")</f>
        <v>10%</v>
      </c>
      <c r="U50" s="12" cm="1" t="str">
        <f t="array" ref="U50">IF(($N50="")*($P50=""),"",IF(($N50&lt;&gt;"")*($N50&gt;TODAY()-9)*($N50&lt;TODAY()+1)*($P50&lt;&gt;"")*($P50&gt;=TODAY())*($P50&lt;=TODAY()+13),"Semaine passée &amp; à venir",IF(($N50&lt;&gt;"")*($N50&gt;TODAY()-9)*($N50&lt;TODAY()+1),"Semaine passée",IF(($P50&lt;&gt;"")*($P50&gt;=TODAY())*($P50&lt;=TODAY()+13),"À venir","Autre"))))</f>
        <v>Autre</v>
      </c>
      <c r="V50" cm="1" t="n">
        <f t="array" ref="V50">IF(C50&lt;&gt;"",1,0)</f>
        <v>1</v>
      </c>
    </row>
    <row r="51" ht="78.75" customHeight="1">
      <c r="A51" s="9" t="s">
        <v>23</v>
      </c>
      <c r="B51" s="9" t="s">
        <v>56</v>
      </c>
      <c r="C51" s="10" t="s">
        <v>186</v>
      </c>
      <c r="D51" s="11" t="s">
        <v>187</v>
      </c>
      <c r="E51" s="9" t="s">
        <v>59</v>
      </c>
      <c r="F51" s="13" t="s">
        <v>188</v>
      </c>
      <c r="G51" s="12" cm="1" t="str">
        <f t="array" ref="G51">IF(F51="","",SUBSTITUTE(SUBSTITUTE(SUBSTITUTE(SUBSTITUTE(F51,"&lt;li&gt;",CHAR(10)),"&lt;/li&gt;",""),"&lt;br&gt;",CHAR(10)),"&lt;strong&gt;",""))</f>
        <v>&lt;p&gt;RDV de prep conf du 9/04 réalisé. Envoi 5-6 portefeuilles à Jefferies pour témoignages event Growth. Ventures suggérés : Latitude, Univity, ReOrbit, Atmos, Alta Ares, Dcubed. Témoignage Charles/Ted prévu à Londres, focus levées UK. Prochaine étape : deadline activité 29/04.&lt;/p&gt;</v>
      </c>
      <c r="H51" s="12" cm="1" t="str">
        <f t="array" ref="H51">IF(G51="","",SUBSTITUTE(SUBSTITUTE(SUBSTITUTE(SUBSTITUTE(SUBSTITUTE(G51,"&lt;p&gt;",""),"&lt;/p&gt;",""),"&lt;ul&gt;",""),"&lt;/ul&gt;",""),"&lt;/strong&gt;",""))</f>
        <v>RDV de prep conf du 9/04 réalisé. Envoi 5-6 portefeuilles à Jefferies pour témoignages event Growth. Ventures suggérés : Latitude, Univity, ReOrbit, Atmos, Alta Ares, Dcubed. Témoignage Charles/Ted prévu à Londres, focus levées UK. Prochaine étape : deadline activité 29/04.</v>
      </c>
      <c r="I51" s="12" cm="1" t="str">
        <f t="array" ref="I51">IF(C51="","",IF(OR(H51="",H51=0,H51=FALSE),"-",H51))</f>
        <v>RDV de prep conf du 9/04 réalisé. Envoi 5-6 portefeuilles à Jefferies pour témoignages event Growth. Ventures suggérés : Latitude, Univity, ReOrbit, Atmos, Alta Ares, Dcubed. Témoignage Charles/Ted prévu à Londres, focus levées UK. Prochaine étape : deadline activité 29/04.</v>
      </c>
      <c r="J51" s="13" t="s">
        <v>189</v>
      </c>
      <c r="K51" s="9" t="s">
        <v>62</v>
      </c>
      <c r="L51" s="9" cm="1" t="str">
        <f t="array" ref="L51">IF(C51="","",IF(K51="Mort / Plus rien à faire","KO","OK"))</f>
        <v>OK</v>
      </c>
      <c r="M51" s="14">
        <v>46094.38763888889</v>
      </c>
      <c r="N51" s="14" cm="1" t="n">
        <f t="array" ref="N51">IF(OR(C51="",M51="",M51=0),"",M51)</f>
        <v>46094.38763888889</v>
      </c>
      <c r="O51" s="14">
</c>
      <c r="P51" s="14" cm="1" t="str">
        <f t="array" ref="P51">IF(C51="","",IF(OR(O51="",O51=0),"-",O51))</f>
        <v>-</v>
      </c>
      <c r="Q51" s="15">
        <v>0</v>
      </c>
      <c r="R51" s="9" cm="1" t="str">
        <f t="array" ref="R51">IF(C51="","",ROUND(Q51/1000000,3)&amp;" M€")</f>
        <v>0 M€</v>
      </c>
      <c r="S51" s="16">
        <v>10</v>
      </c>
      <c r="T51" s="9" cm="1" t="str">
        <f t="array" ref="T51">IF(C51="","",SUBSTITUTE(S51,"","")&amp;"%")</f>
        <v>10%</v>
      </c>
      <c r="U51" s="12" cm="1" t="str">
        <f t="array" ref="U51">IF(($N51="")*($P51=""),"",IF(($N51&lt;&gt;"")*($N51&gt;TODAY()-9)*($N51&lt;TODAY()+1)*($P51&lt;&gt;"")*($P51&gt;=TODAY())*($P51&lt;=TODAY()+13),"Semaine passée &amp; à venir",IF(($N51&lt;&gt;"")*($N51&gt;TODAY()-9)*($N51&lt;TODAY()+1),"Semaine passée",IF(($P51&lt;&gt;"")*($P51&gt;=TODAY())*($P51&lt;=TODAY()+13),"À venir","Autre"))))</f>
        <v>Autre</v>
      </c>
      <c r="V51" cm="1" t="n">
        <f t="array" ref="V51">IF(C51&lt;&gt;"",1,0)</f>
        <v>1</v>
      </c>
    </row>
    <row r="52" ht="78.75" customHeight="1">
      <c r="A52" s="9" t="s">
        <v>23</v>
      </c>
      <c r="B52" s="9" t="s">
        <v>84</v>
      </c>
      <c r="C52" s="10" t="s">
        <v>190</v>
      </c>
      <c r="D52" s="11" t="s">
        <v>191</v>
      </c>
      <c r="E52" s="9" t="s">
        <v>26</v>
      </c>
      <c r="F52" s="13" t="s">
        <v>192</v>
      </c>
      <c r="G52" s="12" cm="1" t="str">
        <f t="array" ref="G52">IF(F52="","",SUBSTITUTE(SUBSTITUTE(SUBSTITUTE(SUBSTITUTE(F52,"&lt;li&gt;",CHAR(10)),"&lt;/li&gt;",""),"&lt;br&gt;",CHAR(10)),"&lt;strong&gt;",""))</f>
        <v>&lt;p&gt;Piste créée pour équipe Ventes. Appel du 06/03&amp;nbsp;: prospect a des besoins sur 150-0 B ter, RDV tel sur offre actuelle, retour attendu si intérêt clients. Relance mail 30/03 pour prise d'intérêt sur client en remploi. Prochaine étape&amp;nbsp;: attente retour prospect.&lt;/p&gt;</v>
      </c>
      <c r="H52" s="12" cm="1" t="str">
        <f t="array" ref="H52">IF(G52="","",SUBSTITUTE(SUBSTITUTE(SUBSTITUTE(SUBSTITUTE(SUBSTITUTE(G52,"&lt;p&gt;",""),"&lt;/p&gt;",""),"&lt;ul&gt;",""),"&lt;/ul&gt;",""),"&lt;/strong&gt;",""))</f>
        <v>Piste créée pour équipe Ventes. Appel du 06/03&amp;nbsp;: prospect a des besoins sur 150-0 B ter, RDV tel sur offre actuelle, retour attendu si intérêt clients. Relance mail 30/03 pour prise d'intérêt sur client en remploi. Prochaine étape&amp;nbsp;: attente retour prospect.</v>
      </c>
      <c r="I52" s="12" cm="1" t="str">
        <f t="array" ref="I52">IF(C52="","",IF(OR(H52="",H52=0,H52=FALSE),"-",H52))</f>
        <v>Piste créée pour équipe Ventes. Appel du 06/03&amp;nbsp;: prospect a des besoins sur 150-0 B ter, RDV tel sur offre actuelle, retour attendu si intérêt clients. Relance mail 30/03 pour prise d'intérêt sur client en remploi. Prochaine étape&amp;nbsp;: attente retour prospect.</v>
      </c>
      <c r="J52" s="13">
</c>
      <c r="K52" s="9" t="s">
        <v>46</v>
      </c>
      <c r="L52" s="9" cm="1" t="str">
        <f t="array" ref="L52">IF(C52="","",IF(K52="Mort / Plus rien à faire","KO","OK"))</f>
        <v>OK</v>
      </c>
      <c r="M52" s="14">
        <v>46111.48504629629</v>
      </c>
      <c r="N52" s="14" cm="1" t="n">
        <f t="array" ref="N52">IF(OR(C52="",M52="",M52=0),"",M52)</f>
        <v>46111.48504629629</v>
      </c>
      <c r="O52" s="14">
</c>
      <c r="P52" s="14" cm="1" t="str">
        <f t="array" ref="P52">IF(C52="","",IF(OR(O52="",O52=0),"-",O52))</f>
        <v>-</v>
      </c>
      <c r="Q52" s="15">
        <v>0</v>
      </c>
      <c r="R52" s="9" cm="1" t="str">
        <f t="array" ref="R52">IF(C52="","",ROUND(Q52/1000000,3)&amp;" M€")</f>
        <v>0 M€</v>
      </c>
      <c r="S52" s="16">
        <v>10</v>
      </c>
      <c r="T52" s="9" cm="1" t="str">
        <f t="array" ref="T52">IF(C52="","",SUBSTITUTE(S52,"","")&amp;"%")</f>
        <v>10%</v>
      </c>
      <c r="U52" s="12" cm="1" t="str">
        <f t="array" ref="U52">IF(($N52="")*($P52=""),"",IF(($N52&lt;&gt;"")*($N52&gt;TODAY()-9)*($N52&lt;TODAY()+1)*($P52&lt;&gt;"")*($P52&gt;=TODAY())*($P52&lt;=TODAY()+13),"Semaine passée &amp; à venir",IF(($N52&lt;&gt;"")*($N52&gt;TODAY()-9)*($N52&lt;TODAY()+1),"Semaine passée",IF(($P52&lt;&gt;"")*($P52&gt;=TODAY())*($P52&lt;=TODAY()+13),"À venir","Autre"))))</f>
        <v>Semaine passée</v>
      </c>
      <c r="V52" cm="1" t="n">
        <f t="array" ref="V52">IF(C52&lt;&gt;"",1,0)</f>
        <v>1</v>
      </c>
    </row>
    <row r="53" ht="78.75" customHeight="1">
      <c r="A53" s="9" t="s">
        <v>23</v>
      </c>
      <c r="B53" s="9" t="s">
        <v>84</v>
      </c>
      <c r="C53" s="10" t="s">
        <v>193</v>
      </c>
      <c r="D53" s="11" t="s">
        <v>194</v>
      </c>
      <c r="E53" s="9" t="s">
        <v>26</v>
      </c>
      <c r="F53" s="13" t="s">
        <v>195</v>
      </c>
      <c r="G53" s="12" cm="1" t="str">
        <f t="array" ref="G53">IF(F53="","",SUBSTITUTE(SUBSTITUTE(SUBSTITUTE(SUBSTITUTE(F53,"&lt;li&gt;",CHAR(10)),"&lt;/li&gt;",""),"&lt;br&gt;",CHAR(10)),"&lt;strong&gt;",""))</f>
        <v>&lt;p&gt;Projet référencement fonds, passage en comité initialement prévu, reporté à mi-février. Lead créé pour équipe Ventes. Tentative d'enrichissement échouée (email invalide). Prochaine étape&amp;nbsp;: attendre retour du comité mi-février pour décision sur référencement des fonds.&lt;/p&gt;</v>
      </c>
      <c r="H53" s="12" cm="1" t="str">
        <f t="array" ref="H53">IF(G53="","",SUBSTITUTE(SUBSTITUTE(SUBSTITUTE(SUBSTITUTE(SUBSTITUTE(G53,"&lt;p&gt;",""),"&lt;/p&gt;",""),"&lt;ul&gt;",""),"&lt;/ul&gt;",""),"&lt;/strong&gt;",""))</f>
        <v>Projet référencement fonds, passage en comité initialement prévu, reporté à mi-février. Lead créé pour équipe Ventes. Tentative d'enrichissement échouée (email invalide). Prochaine étape&amp;nbsp;: attendre retour du comité mi-février pour décision sur référencement des fonds.</v>
      </c>
      <c r="I53" s="12" cm="1" t="str">
        <f t="array" ref="I53">IF(C53="","",IF(OR(H53="",H53=0,H53=FALSE),"-",H53))</f>
        <v>Projet référencement fonds, passage en comité initialement prévu, reporté à mi-février. Lead créé pour équipe Ventes. Tentative d'enrichissement échouée (email invalide). Prochaine étape&amp;nbsp;: attendre retour du comité mi-février pour décision sur référencement des fonds.</v>
      </c>
      <c r="J53" s="13">
</c>
      <c r="K53" s="9" t="s">
        <v>46</v>
      </c>
      <c r="L53" s="9" cm="1" t="str">
        <f t="array" ref="L53">IF(C53="","",IF(K53="Mort / Plus rien à faire","KO","OK"))</f>
        <v>OK</v>
      </c>
      <c r="M53" s="14">
        <v>46050.68782407408</v>
      </c>
      <c r="N53" s="14" cm="1" t="n">
        <f t="array" ref="N53">IF(OR(C53="",M53="",M53=0),"",M53)</f>
        <v>46050.68782407408</v>
      </c>
      <c r="O53" s="14">
</c>
      <c r="P53" s="14" cm="1" t="str">
        <f t="array" ref="P53">IF(C53="","",IF(OR(O53="",O53=0),"-",O53))</f>
        <v>-</v>
      </c>
      <c r="Q53" s="15">
        <v>0</v>
      </c>
      <c r="R53" s="9" cm="1" t="str">
        <f t="array" ref="R53">IF(C53="","",ROUND(Q53/1000000,3)&amp;" M€")</f>
        <v>0 M€</v>
      </c>
      <c r="S53" s="16">
        <v>10</v>
      </c>
      <c r="T53" s="9" cm="1" t="str">
        <f t="array" ref="T53">IF(C53="","",SUBSTITUTE(S53,"","")&amp;"%")</f>
        <v>10%</v>
      </c>
      <c r="U53" s="12" cm="1" t="str">
        <f t="array" ref="U53">IF(($N53="")*($P53=""),"",IF(($N53&lt;&gt;"")*($N53&gt;TODAY()-9)*($N53&lt;TODAY()+1)*($P53&lt;&gt;"")*($P53&gt;=TODAY())*($P53&lt;=TODAY()+13),"Semaine passée &amp; à venir",IF(($N53&lt;&gt;"")*($N53&gt;TODAY()-9)*($N53&lt;TODAY()+1),"Semaine passée",IF(($P53&lt;&gt;"")*($P53&gt;=TODAY())*($P53&lt;=TODAY()+13),"À venir","Autre"))))</f>
        <v>Autre</v>
      </c>
      <c r="V53" cm="1" t="n">
        <f t="array" ref="V53">IF(C53&lt;&gt;"",1,0)</f>
        <v>1</v>
      </c>
    </row>
    <row r="54" ht="78.75" customHeight="1">
      <c r="A54" s="9" t="s">
        <v>23</v>
      </c>
      <c r="B54" s="9" t="s">
        <v>29</v>
      </c>
      <c r="C54" s="10" t="s">
        <v>196</v>
      </c>
      <c r="D54" s="11" t="s">
        <v>197</v>
      </c>
      <c r="E54" s="9" t="s">
        <v>26</v>
      </c>
      <c r="F54" s="13" t="s">
        <v>198</v>
      </c>
      <c r="G54" s="12" cm="1" t="str">
        <f t="array" ref="G54">IF(F54="","",SUBSTITUTE(SUBSTITUTE(SUBSTITUTE(SUBSTITUTE(F54,"&lt;li&gt;",CHAR(10)),"&lt;/li&gt;",""),"&lt;br&gt;",CHAR(10)),"&lt;strong&gt;",""))</f>
        <v>&lt;p&gt;Relance téléphonique 30/03/2026 pour présenter Straton et Géodesic. Précédemment, demande d’un point sur offre remploi Audacia. Création piste pour équipe Ventes. Pas de retour sur fonds présentés ni avis prospect. Prochaine étape&amp;nbsp;: suivi téléphonique, pas d’autres actions planifiées à ce jour.&lt;/p&gt;</v>
      </c>
      <c r="H54" s="12" cm="1" t="str">
        <f t="array" ref="H54">IF(G54="","",SUBSTITUTE(SUBSTITUTE(SUBSTITUTE(SUBSTITUTE(SUBSTITUTE(G54,"&lt;p&gt;",""),"&lt;/p&gt;",""),"&lt;ul&gt;",""),"&lt;/ul&gt;",""),"&lt;/strong&gt;",""))</f>
        <v>Relance téléphonique 30/03/2026 pour présenter Straton et Géodesic. Précédemment, demande d’un point sur offre remploi Audacia. Création piste pour équipe Ventes. Pas de retour sur fonds présentés ni avis prospect. Prochaine étape&amp;nbsp;: suivi téléphonique, pas d’autres actions planifiées à ce jour.</v>
      </c>
      <c r="I54" s="12" cm="1" t="str">
        <f t="array" ref="I54">IF(C54="","",IF(OR(H54="",H54=0,H54=FALSE),"-",H54))</f>
        <v>Relance téléphonique 30/03/2026 pour présenter Straton et Géodesic. Précédemment, demande d’un point sur offre remploi Audacia. Création piste pour équipe Ventes. Pas de retour sur fonds présentés ni avis prospect. Prochaine étape&amp;nbsp;: suivi téléphonique, pas d’autres actions planifiées à ce jour.</v>
      </c>
      <c r="J54" s="13">
</c>
      <c r="K54" s="9" t="s">
        <v>46</v>
      </c>
      <c r="L54" s="9" cm="1" t="str">
        <f t="array" ref="L54">IF(C54="","",IF(K54="Mort / Plus rien à faire","KO","OK"))</f>
        <v>OK</v>
      </c>
      <c r="M54" s="14">
        <v>46111.59444444445</v>
      </c>
      <c r="N54" s="14" cm="1" t="n">
        <f t="array" ref="N54">IF(OR(C54="",M54="",M54=0),"",M54)</f>
        <v>46111.59444444445</v>
      </c>
      <c r="O54" s="14">
</c>
      <c r="P54" s="14" cm="1" t="str">
        <f t="array" ref="P54">IF(C54="","",IF(OR(O54="",O54=0),"-",O54))</f>
        <v>-</v>
      </c>
      <c r="Q54" s="15">
        <v>0</v>
      </c>
      <c r="R54" s="9" cm="1" t="str">
        <f t="array" ref="R54">IF(C54="","",ROUND(Q54/1000000,3)&amp;" M€")</f>
        <v>0 M€</v>
      </c>
      <c r="S54" s="16">
        <v>10</v>
      </c>
      <c r="T54" s="9" cm="1" t="str">
        <f t="array" ref="T54">IF(C54="","",SUBSTITUTE(S54,"","")&amp;"%")</f>
        <v>10%</v>
      </c>
      <c r="U54" s="12" cm="1" t="str">
        <f t="array" ref="U54">IF(($N54="")*($P54=""),"",IF(($N54&lt;&gt;"")*($N54&gt;TODAY()-9)*($N54&lt;TODAY()+1)*($P54&lt;&gt;"")*($P54&gt;=TODAY())*($P54&lt;=TODAY()+13),"Semaine passée &amp; à venir",IF(($N54&lt;&gt;"")*($N54&gt;TODAY()-9)*($N54&lt;TODAY()+1),"Semaine passée",IF(($P54&lt;&gt;"")*($P54&gt;=TODAY())*($P54&lt;=TODAY()+13),"À venir","Autre"))))</f>
        <v>Semaine passée</v>
      </c>
      <c r="V54" cm="1" t="n">
        <f t="array" ref="V54">IF(C54&lt;&gt;"",1,0)</f>
        <v>1</v>
      </c>
    </row>
    <row r="55" ht="78.75" customHeight="1">
      <c r="A55" s="9" t="s">
        <v>23</v>
      </c>
      <c r="B55" s="9" t="s">
        <v>84</v>
      </c>
      <c r="C55" s="10" t="s">
        <v>199</v>
      </c>
      <c r="D55" s="11" t="s">
        <v>200</v>
      </c>
      <c r="E55" s="9" t="s">
        <v>26</v>
      </c>
      <c r="F55" s="13" t="s">
        <v>201</v>
      </c>
      <c r="G55" s="12" cm="1" t="str">
        <f t="array" ref="G55">IF(F55="","",SUBSTITUTE(SUBSTITUTE(SUBSTITUTE(SUBSTITUTE(F55,"&lt;li&gt;",CHAR(10)),"&lt;/li&gt;",""),"&lt;br&gt;",CHAR(10)),"&lt;strong&gt;",""))</f>
        <v>&lt;p&gt;Nouvelle piste créée pour équipe Ventes. Tentative d'enrichissement échouée (email non valide). Discussion reprise sur fonds Audacia, pas de retour prospect ni action complémentaire mentionnée. Aucune activité ou prochaine étape planifiée identifiée à ce jour.&lt;/p&gt;</v>
      </c>
      <c r="H55" s="12" cm="1" t="str">
        <f t="array" ref="H55">IF(G55="","",SUBSTITUTE(SUBSTITUTE(SUBSTITUTE(SUBSTITUTE(SUBSTITUTE(G55,"&lt;p&gt;",""),"&lt;/p&gt;",""),"&lt;ul&gt;",""),"&lt;/ul&gt;",""),"&lt;/strong&gt;",""))</f>
        <v>Nouvelle piste créée pour équipe Ventes. Tentative d'enrichissement échouée (email non valide). Discussion reprise sur fonds Audacia, pas de retour prospect ni action complémentaire mentionnée. Aucune activité ou prochaine étape planifiée identifiée à ce jour.</v>
      </c>
      <c r="I55" s="12" cm="1" t="str">
        <f t="array" ref="I55">IF(C55="","",IF(OR(H55="",H55=0,H55=FALSE),"-",H55))</f>
        <v>Nouvelle piste créée pour équipe Ventes. Tentative d'enrichissement échouée (email non valide). Discussion reprise sur fonds Audacia, pas de retour prospect ni action complémentaire mentionnée. Aucune activité ou prochaine étape planifiée identifiée à ce jour.</v>
      </c>
      <c r="J55" s="13">
</c>
      <c r="K55" s="9" t="s">
        <v>46</v>
      </c>
      <c r="L55" s="9" cm="1" t="str">
        <f t="array" ref="L55">IF(C55="","",IF(K55="Mort / Plus rien à faire","KO","OK"))</f>
        <v>OK</v>
      </c>
      <c r="M55" s="14">
        <v>46094.76369212963</v>
      </c>
      <c r="N55" s="14" cm="1" t="n">
        <f t="array" ref="N55">IF(OR(C55="",M55="",M55=0),"",M55)</f>
        <v>46094.76369212963</v>
      </c>
      <c r="O55" s="14">
</c>
      <c r="P55" s="14" cm="1" t="str">
        <f t="array" ref="P55">IF(C55="","",IF(OR(O55="",O55=0),"-",O55))</f>
        <v>-</v>
      </c>
      <c r="Q55" s="15">
        <v>0</v>
      </c>
      <c r="R55" s="9" cm="1" t="str">
        <f t="array" ref="R55">IF(C55="","",ROUND(Q55/1000000,3)&amp;" M€")</f>
        <v>0 M€</v>
      </c>
      <c r="S55" s="16">
        <v>10</v>
      </c>
      <c r="T55" s="9" cm="1" t="str">
        <f t="array" ref="T55">IF(C55="","",SUBSTITUTE(S55,"","")&amp;"%")</f>
        <v>10%</v>
      </c>
      <c r="U55" s="12" cm="1" t="str">
        <f t="array" ref="U55">IF(($N55="")*($P55=""),"",IF(($N55&lt;&gt;"")*($N55&gt;TODAY()-9)*($N55&lt;TODAY()+1)*($P55&lt;&gt;"")*($P55&gt;=TODAY())*($P55&lt;=TODAY()+13),"Semaine passée &amp; à venir",IF(($N55&lt;&gt;"")*($N55&gt;TODAY()-9)*($N55&lt;TODAY()+1),"Semaine passée",IF(($P55&lt;&gt;"")*($P55&gt;=TODAY())*($P55&lt;=TODAY()+13),"À venir","Autre"))))</f>
        <v>Autre</v>
      </c>
      <c r="V55" cm="1" t="n">
        <f t="array" ref="V55">IF(C55&lt;&gt;"",1,0)</f>
        <v>1</v>
      </c>
    </row>
    <row r="56" ht="78.75" customHeight="1">
      <c r="A56" s="9" t="s">
        <v>23</v>
      </c>
      <c r="B56" s="9" t="s">
        <v>94</v>
      </c>
      <c r="C56" s="10" t="s">
        <v>202</v>
      </c>
      <c r="D56" s="11" t="s">
        <v>203</v>
      </c>
      <c r="E56" s="9" t="s">
        <v>59</v>
      </c>
      <c r="F56" s="13" t="s">
        <v>204</v>
      </c>
      <c r="G56" s="12" cm="1" t="str">
        <f t="array" ref="G56">IF(F56="","",SUBSTITUTE(SUBSTITUTE(SUBSTITUTE(SUBSTITUTE(F56,"&lt;li&gt;",CHAR(10)),"&lt;/li&gt;",""),"&lt;br&gt;",CHAR(10)),"&lt;strong&gt;",""))</f>
        <v>&lt;p&gt;Nouvelle piste créée pour équipe Ventes. Aucun échange, activité ou action de suivi enregistrée à ce jour sur ce prospect. Pas d'informations complémentaires, pas de retour ni de prochaine étape identifiée. Suivi à initier.&lt;/p&gt;</v>
      </c>
      <c r="H56" s="12" cm="1" t="str">
        <f t="array" ref="H56">IF(G56="","",SUBSTITUTE(SUBSTITUTE(SUBSTITUTE(SUBSTITUTE(SUBSTITUTE(G56,"&lt;p&gt;",""),"&lt;/p&gt;",""),"&lt;ul&gt;",""),"&lt;/ul&gt;",""),"&lt;/strong&gt;",""))</f>
        <v>Nouvelle piste créée pour équipe Ventes. Aucun échange, activité ou action de suivi enregistrée à ce jour sur ce prospect. Pas d'informations complémentaires, pas de retour ni de prochaine étape identifiée. Suivi à initier.</v>
      </c>
      <c r="I56" s="12" cm="1" t="str">
        <f t="array" ref="I56">IF(C56="","",IF(OR(H56="",H56=0,H56=FALSE),"-",H56))</f>
        <v>Nouvelle piste créée pour équipe Ventes. Aucun échange, activité ou action de suivi enregistrée à ce jour sur ce prospect. Pas d'informations complémentaires, pas de retour ni de prochaine étape identifiée. Suivi à initier.</v>
      </c>
      <c r="J56" s="13">
</c>
      <c r="K56" s="9" t="s">
        <v>62</v>
      </c>
      <c r="L56" s="9" cm="1" t="str">
        <f t="array" ref="L56">IF(C56="","",IF(K56="Mort / Plus rien à faire","KO","OK"))</f>
        <v>OK</v>
      </c>
      <c r="M56" s="14">
        <v>46049.8827662037</v>
      </c>
      <c r="N56" s="14" cm="1" t="n">
        <f t="array" ref="N56">IF(OR(C56="",M56="",M56=0),"",M56)</f>
        <v>46049.8827662037</v>
      </c>
      <c r="O56" s="14">
</c>
      <c r="P56" s="14" cm="1" t="str">
        <f t="array" ref="P56">IF(C56="","",IF(OR(O56="",O56=0),"-",O56))</f>
        <v>-</v>
      </c>
      <c r="Q56" s="15">
        <v>0</v>
      </c>
      <c r="R56" s="9" cm="1" t="str">
        <f t="array" ref="R56">IF(C56="","",ROUND(Q56/1000000,3)&amp;" M€")</f>
        <v>0 M€</v>
      </c>
      <c r="S56" s="16">
        <v>0</v>
      </c>
      <c r="T56" s="9" cm="1" t="str">
        <f t="array" ref="T56">IF(C56="","",SUBSTITUTE(S56,"","")&amp;"%")</f>
        <v>0%</v>
      </c>
      <c r="U56" s="12" cm="1" t="str">
        <f t="array" ref="U56">IF(($N56="")*($P56=""),"",IF(($N56&lt;&gt;"")*($N56&gt;TODAY()-9)*($N56&lt;TODAY()+1)*($P56&lt;&gt;"")*($P56&gt;=TODAY())*($P56&lt;=TODAY()+13),"Semaine passée &amp; à venir",IF(($N56&lt;&gt;"")*($N56&gt;TODAY()-9)*($N56&lt;TODAY()+1),"Semaine passée",IF(($P56&lt;&gt;"")*($P56&gt;=TODAY())*($P56&lt;=TODAY()+13),"À venir","Autre"))))</f>
        <v>Autre</v>
      </c>
      <c r="V56" cm="1" t="n">
        <f t="array" ref="V56">IF(C56&lt;&gt;"",1,0)</f>
        <v>1</v>
      </c>
    </row>
    <row r="57" ht="78.75" customHeight="1">
      <c r="A57" s="9" t="s">
        <v>23</v>
      </c>
      <c r="B57" s="9" t="s">
        <v>24</v>
      </c>
      <c r="C57" s="10" t="s">
        <v>205</v>
      </c>
      <c r="D57" s="11" t="s">
        <v>205</v>
      </c>
      <c r="E57" s="9" t="s">
        <v>59</v>
      </c>
      <c r="F57" s="13" t="s">
        <v>206</v>
      </c>
      <c r="G57" s="12" cm="1" t="str">
        <f t="array" ref="G57">IF(F57="","",SUBSTITUTE(SUBSTITUTE(SUBSTITUTE(SUBSTITUTE(F57,"&lt;li&gt;",CHAR(10)),"&lt;/li&gt;",""),"&lt;br&gt;",CHAR(10)),"&lt;strong&gt;",""))</f>
        <v>&lt;p&gt;RDV physique réalisé, nouveau RDV en cours de calage avec prospect. Relance effectuée auprès de r.weiss@titrisation.com le 20/03/2026. Pas de retour sur l'intérêt pour les fonds à ce stade, prochaines étapes : fixer le prochain RDV et attendre retour du prospect.&lt;/p&gt;</v>
      </c>
      <c r="H57" s="12" cm="1" t="str">
        <f t="array" ref="H57">IF(G57="","",SUBSTITUTE(SUBSTITUTE(SUBSTITUTE(SUBSTITUTE(SUBSTITUTE(G57,"&lt;p&gt;",""),"&lt;/p&gt;",""),"&lt;ul&gt;",""),"&lt;/ul&gt;",""),"&lt;/strong&gt;",""))</f>
        <v>RDV physique réalisé, nouveau RDV en cours de calage avec prospect. Relance effectuée auprès de r.weiss@titrisation.com le 20/03/2026. Pas de retour sur l'intérêt pour les fonds à ce stade, prochaines étapes : fixer le prochain RDV et attendre retour du prospect.</v>
      </c>
      <c r="I57" s="12" cm="1" t="str">
        <f t="array" ref="I57">IF(C57="","",IF(OR(H57="",H57=0,H57=FALSE),"-",H57))</f>
        <v>RDV physique réalisé, nouveau RDV en cours de calage avec prospect. Relance effectuée auprès de r.weiss@titrisation.com le 20/03/2026. Pas de retour sur l'intérêt pour les fonds à ce stade, prochaines étapes : fixer le prochain RDV et attendre retour du prospect.</v>
      </c>
      <c r="J57" s="13" t="s">
        <v>207</v>
      </c>
      <c r="K57" s="9" t="s">
        <v>62</v>
      </c>
      <c r="L57" s="9" cm="1" t="str">
        <f t="array" ref="L57">IF(C57="","",IF(K57="Mort / Plus rien à faire","KO","OK"))</f>
        <v>OK</v>
      </c>
      <c r="M57" s="14">
        <v>46094.44863425926</v>
      </c>
      <c r="N57" s="14" cm="1" t="n">
        <f t="array" ref="N57">IF(OR(C57="",M57="",M57=0),"",M57)</f>
        <v>46094.44863425926</v>
      </c>
      <c r="O57" s="14">
</c>
      <c r="P57" s="14" cm="1" t="str">
        <f t="array" ref="P57">IF(C57="","",IF(OR(O57="",O57=0),"-",O57))</f>
        <v>-</v>
      </c>
      <c r="Q57" s="15">
        <v>0</v>
      </c>
      <c r="R57" s="9" cm="1" t="str">
        <f t="array" ref="R57">IF(C57="","",ROUND(Q57/1000000,3)&amp;" M€")</f>
        <v>0 M€</v>
      </c>
      <c r="S57" s="16">
        <v>0</v>
      </c>
      <c r="T57" s="9" cm="1" t="str">
        <f t="array" ref="T57">IF(C57="","",SUBSTITUTE(S57,"","")&amp;"%")</f>
        <v>0%</v>
      </c>
      <c r="U57" s="12" cm="1" t="str">
        <f t="array" ref="U57">IF(($N57="")*($P57=""),"",IF(($N57&lt;&gt;"")*($N57&gt;TODAY()-9)*($N57&lt;TODAY()+1)*($P57&lt;&gt;"")*($P57&gt;=TODAY())*($P57&lt;=TODAY()+13),"Semaine passée &amp; à venir",IF(($N57&lt;&gt;"")*($N57&gt;TODAY()-9)*($N57&lt;TODAY()+1),"Semaine passée",IF(($P57&lt;&gt;"")*($P57&gt;=TODAY())*($P57&lt;=TODAY()+13),"À venir","Autre"))))</f>
        <v>Autre</v>
      </c>
      <c r="V57" cm="1" t="n">
        <f t="array" ref="V57">IF(C57&lt;&gt;"",1,0)</f>
        <v>1</v>
      </c>
    </row>
    <row r="58" ht="78.75" customHeight="1">
      <c r="A58" s="9" t="s">
        <v>23</v>
      </c>
      <c r="B58" s="9" t="s">
        <v>161</v>
      </c>
      <c r="C58" s="10" t="s">
        <v>208</v>
      </c>
      <c r="D58" s="11" t="s">
        <v>209</v>
      </c>
      <c r="E58" s="9" t="s">
        <v>59</v>
      </c>
      <c r="F58" s="13" t="s">
        <v>210</v>
      </c>
      <c r="G58" s="12" cm="1" t="str">
        <f t="array" ref="G58">IF(F58="","",SUBSTITUTE(SUBSTITUTE(SUBSTITUTE(SUBSTITUTE(F58,"&lt;li&gt;",CHAR(10)),"&lt;/li&gt;",""),"&lt;br&gt;",CHAR(10)),"&lt;strong&gt;",""))</f>
        <v>&lt;p&gt;12/12/25 RDV FO: 70 lignes fonds, 15 Europe, secondaire actif, 16M€, 100% déployé, horizon 3-5 ans, LP lead prudent, GP lead single asset, discussions sur nouveau fonds 1,5M€, Rdv janvier prévu. Prochaine étape : prendre rdv pour update secondary. Pas d'autres actus récentes.&lt;/p&gt;</v>
      </c>
      <c r="H58" s="12" cm="1" t="str">
        <f t="array" ref="H58">IF(G58="","",SUBSTITUTE(SUBSTITUTE(SUBSTITUTE(SUBSTITUTE(SUBSTITUTE(G58,"&lt;p&gt;",""),"&lt;/p&gt;",""),"&lt;ul&gt;",""),"&lt;/ul&gt;",""),"&lt;/strong&gt;",""))</f>
        <v>12/12/25 RDV FO: 70 lignes fonds, 15 Europe, secondaire actif, 16M€, 100% déployé, horizon 3-5 ans, LP lead prudent, GP lead single asset, discussions sur nouveau fonds 1,5M€, Rdv janvier prévu. Prochaine étape : prendre rdv pour update secondary. Pas d'autres actus récentes.</v>
      </c>
      <c r="I58" s="12" cm="1" t="str">
        <f t="array" ref="I58">IF(C58="","",IF(OR(H58="",H58=0,H58=FALSE),"-",H58))</f>
        <v>12/12/25 RDV FO: 70 lignes fonds, 15 Europe, secondaire actif, 16M€, 100% déployé, horizon 3-5 ans, LP lead prudent, GP lead single asset, discussions sur nouveau fonds 1,5M€, Rdv janvier prévu. Prochaine étape : prendre rdv pour update secondary. Pas d'autres actus récentes.</v>
      </c>
      <c r="J58" s="13" t="s">
        <v>211</v>
      </c>
      <c r="K58" s="9" t="s">
        <v>46</v>
      </c>
      <c r="L58" s="9" cm="1" t="str">
        <f t="array" ref="L58">IF(C58="","",IF(K58="Mort / Plus rien à faire","KO","OK"))</f>
        <v>OK</v>
      </c>
      <c r="M58" s="14">
        <v>46088.40940972222</v>
      </c>
      <c r="N58" s="14" cm="1" t="n">
        <f t="array" ref="N58">IF(OR(C58="",M58="",M58=0),"",M58)</f>
        <v>46088.40940972222</v>
      </c>
      <c r="O58" s="14">
        <v>46209.083333333336</v>
      </c>
      <c r="P58" s="14" cm="1" t="n">
        <f t="array" ref="P58">IF(C58="","",IF(OR(O58="",O58=0),"-",O58))</f>
        <v>46209.083333333336</v>
      </c>
      <c r="Q58" s="15">
        <v>0</v>
      </c>
      <c r="R58" s="9" cm="1" t="str">
        <f t="array" ref="R58">IF(C58="","",ROUND(Q58/1000000,3)&amp;" M€")</f>
        <v>0 M€</v>
      </c>
      <c r="S58" s="16">
        <v>0</v>
      </c>
      <c r="T58" s="9" cm="1" t="str">
        <f t="array" ref="T58">IF(C58="","",SUBSTITUTE(S58,"","")&amp;"%")</f>
        <v>0%</v>
      </c>
      <c r="U58" s="12" cm="1" t="str">
        <f t="array" ref="U58">IF(($N58="")*($P58=""),"",IF(($N58&lt;&gt;"")*($N58&gt;TODAY()-9)*($N58&lt;TODAY()+1)*($P58&lt;&gt;"")*($P58&gt;=TODAY())*($P58&lt;=TODAY()+13),"Semaine passée &amp; à venir",IF(($N58&lt;&gt;"")*($N58&gt;TODAY()-9)*($N58&lt;TODAY()+1),"Semaine passée",IF(($P58&lt;&gt;"")*($P58&gt;=TODAY())*($P58&lt;=TODAY()+13),"À venir","Autre"))))</f>
        <v>Autre</v>
      </c>
      <c r="V58" cm="1" t="n">
        <f t="array" ref="V58">IF(C58&lt;&gt;"",1,0)</f>
        <v>1</v>
      </c>
    </row>
    <row r="59" ht="78.75" customHeight="1">
      <c r="A59" s="9" t="s">
        <v>23</v>
      </c>
      <c r="B59" s="9" t="s">
        <v>24</v>
      </c>
      <c r="C59" s="10" t="s">
        <v>212</v>
      </c>
      <c r="D59" s="11" t="s">
        <v>212</v>
      </c>
      <c r="E59" s="9" t="s">
        <v>26</v>
      </c>
      <c r="F59" s="13" t="s">
        <v>213</v>
      </c>
      <c r="G59" s="12" cm="1" t="str">
        <f t="array" ref="G59">IF(F59="","",SUBSTITUTE(SUBSTITUTE(SUBSTITUTE(SUBSTITUTE(F59,"&lt;li&gt;",CHAR(10)),"&lt;/li&gt;",""),"&lt;br&gt;",CHAR(10)),"&lt;strong&gt;",""))</f>
        <v>&lt;p&gt;Mail suite exit société, cash à investir, proposition RDV Bourrienne. RDV physique réalisé, échanges sur fonds, prochaines étapes évoquées. Appel passé, feedback prospect : pas d'intérêt pour Audacia. Pas d'autres actions prévues à ce stade, attente éventuel retour prospect.&lt;/p&gt;</v>
      </c>
      <c r="H59" s="12" cm="1" t="str">
        <f t="array" ref="H59">IF(G59="","",SUBSTITUTE(SUBSTITUTE(SUBSTITUTE(SUBSTITUTE(SUBSTITUTE(G59,"&lt;p&gt;",""),"&lt;/p&gt;",""),"&lt;ul&gt;",""),"&lt;/ul&gt;",""),"&lt;/strong&gt;",""))</f>
        <v>Mail suite exit société, cash à investir, proposition RDV Bourrienne. RDV physique réalisé, échanges sur fonds, prochaines étapes évoquées. Appel passé, feedback prospect : pas d'intérêt pour Audacia. Pas d'autres actions prévues à ce stade, attente éventuel retour prospect.</v>
      </c>
      <c r="I59" s="12" cm="1" t="str">
        <f t="array" ref="I59">IF(C59="","",IF(OR(H59="",H59=0,H59=FALSE),"-",H59))</f>
        <v>Mail suite exit société, cash à investir, proposition RDV Bourrienne. RDV physique réalisé, échanges sur fonds, prochaines étapes évoquées. Appel passé, feedback prospect : pas d'intérêt pour Audacia. Pas d'autres actions prévues à ce stade, attente éventuel retour prospect.</v>
      </c>
      <c r="J59" s="13">
</c>
      <c r="K59" s="9" t="s">
        <v>214</v>
      </c>
      <c r="L59" s="9" cm="1" t="str">
        <f t="array" ref="L59">IF(C59="","",IF(K59="Mort / Plus rien à faire","KO","OK"))</f>
        <v>KO</v>
      </c>
      <c r="M59" s="14">
        <v>45995.669583333336</v>
      </c>
      <c r="N59" s="14" cm="1" t="n">
        <f t="array" ref="N59">IF(OR(C59="",M59="",M59=0),"",M59)</f>
        <v>45995.669583333336</v>
      </c>
      <c r="O59" s="14">
</c>
      <c r="P59" s="14" cm="1" t="str">
        <f t="array" ref="P59">IF(C59="","",IF(OR(O59="",O59=0),"-",O59))</f>
        <v>-</v>
      </c>
      <c r="Q59" s="15">
        <v>0</v>
      </c>
      <c r="R59" s="9" cm="1" t="str">
        <f t="array" ref="R59">IF(C59="","",ROUND(Q59/1000000,3)&amp;" M€")</f>
        <v>0 M€</v>
      </c>
      <c r="S59" s="16">
        <v>0</v>
      </c>
      <c r="T59" s="9" cm="1" t="str">
        <f t="array" ref="T59">IF(C59="","",SUBSTITUTE(S59,"","")&amp;"%")</f>
        <v>0%</v>
      </c>
      <c r="U59" s="12" cm="1" t="str">
        <f t="array" ref="U59">IF(($N59="")*($P59=""),"",IF(($N59&lt;&gt;"")*($N59&gt;TODAY()-9)*($N59&lt;TODAY()+1)*($P59&lt;&gt;"")*($P59&gt;=TODAY())*($P59&lt;=TODAY()+13),"Semaine passée &amp; à venir",IF(($N59&lt;&gt;"")*($N59&gt;TODAY()-9)*($N59&lt;TODAY()+1),"Semaine passée",IF(($P59&lt;&gt;"")*($P59&gt;=TODAY())*($P59&lt;=TODAY()+13),"À venir","Autre"))))</f>
        <v>Autre</v>
      </c>
      <c r="V59" cm="1" t="n">
        <f t="array" ref="V59">IF(C59&lt;&gt;"",1,0)</f>
        <v>1</v>
      </c>
    </row>
    <row r="60" ht="78.75" customHeight="1">
      <c r="A60" s="9">
</c>
      <c r="B60" s="9">
</c>
      <c r="C60" s="10">
</c>
      <c r="D60" s="11">
</c>
      <c r="E60" s="9">
</c>
      <c r="F60" s="13">
</c>
      <c r="G60" s="12" cm="1" t="str">
        <f t="array" ref="G60">IF(F60="","",SUBSTITUTE(SUBSTITUTE(SUBSTITUTE(SUBSTITUTE(F60,"&lt;li&gt;",CHAR(10)),"&lt;/li&gt;",""),"&lt;br&gt;",CHAR(10)),"&lt;strong&gt;",""))</f>
        <v/>
      </c>
      <c r="H60" s="12" cm="1" t="str">
        <f t="array" ref="H60">IF(G60="","",SUBSTITUTE(SUBSTITUTE(SUBSTITUTE(SUBSTITUTE(SUBSTITUTE(G60,"&lt;p&gt;",""),"&lt;/p&gt;",""),"&lt;ul&gt;",""),"&lt;/ul&gt;",""),"&lt;/strong&gt;",""))</f>
        <v/>
      </c>
      <c r="I60" s="12" cm="1" t="str">
        <f t="array" ref="I60">IF(C60="","",IF(OR(H60="",H60=0,H60=FALSE),"-",H60))</f>
        <v/>
      </c>
      <c r="J60" s="13">
</c>
      <c r="K60" s="9">
</c>
      <c r="L60" s="9" cm="1" t="str">
        <f t="array" ref="L60">IF(C60="","",IF(K60="Mort / Plus rien à faire","KO","OK"))</f>
        <v/>
      </c>
      <c r="M60" s="14">
</c>
      <c r="N60" s="14" cm="1" t="str">
        <f t="array" ref="N60">IF(OR(C60="",M60="",M60=0),"",M60)</f>
        <v/>
      </c>
      <c r="O60" s="14">
</c>
      <c r="P60" s="14" cm="1" t="str">
        <f t="array" ref="P60">IF(C60="","",IF(OR(O60="",O60=0),"-",O60))</f>
        <v/>
      </c>
      <c r="Q60" s="15">
</c>
      <c r="R60" s="9" cm="1" t="str">
        <f t="array" ref="R60">IF(C60="","",ROUND(Q60/1000000,3)&amp;" M€")</f>
        <v/>
      </c>
      <c r="S60" s="16">
</c>
      <c r="T60" s="9" cm="1" t="str">
        <f t="array" ref="T60">IF(C60="","",SUBSTITUTE(S60,"","")&amp;"%")</f>
        <v/>
      </c>
      <c r="U60" s="12" cm="1" t="str">
        <f t="array" ref="U60">IF(($N60="")*($P60=""),"",IF(($N60&lt;&gt;"")*($N60&gt;TODAY()-9)*($N60&lt;TODAY()+1)*($P60&lt;&gt;"")*($P60&gt;=TODAY())*($P60&lt;=TODAY()+13),"Semaine passée &amp; à venir",IF(($N60&lt;&gt;"")*($N60&gt;TODAY()-9)*($N60&lt;TODAY()+1),"Semaine passée",IF(($P60&lt;&gt;"")*($P60&gt;=TODAY())*($P60&lt;=TODAY()+13),"À venir","Autre"))))</f>
        <v/>
      </c>
      <c r="V60" cm="1" t="n">
        <f t="array" ref="V60">IF(C60&lt;&gt;"",1,0)</f>
        <v>0</v>
      </c>
    </row>
    <row r="61" ht="78.75" customHeight="1">
      <c r="A61" s="9">
</c>
      <c r="B61" s="9">
</c>
      <c r="C61" s="10">
</c>
      <c r="D61" s="11">
</c>
      <c r="E61" s="9">
</c>
      <c r="F61" s="13">
</c>
      <c r="G61" s="12" cm="1" t="str">
        <f t="array" ref="G61">IF(F61="","",SUBSTITUTE(SUBSTITUTE(SUBSTITUTE(SUBSTITUTE(F61,"&lt;li&gt;",CHAR(10)),"&lt;/li&gt;",""),"&lt;br&gt;",CHAR(10)),"&lt;strong&gt;",""))</f>
        <v/>
      </c>
      <c r="H61" s="12" cm="1" t="str">
        <f t="array" ref="H61">IF(G61="","",SUBSTITUTE(SUBSTITUTE(SUBSTITUTE(SUBSTITUTE(SUBSTITUTE(G61,"&lt;p&gt;",""),"&lt;/p&gt;",""),"&lt;ul&gt;",""),"&lt;/ul&gt;",""),"&lt;/strong&gt;",""))</f>
        <v/>
      </c>
      <c r="I61" s="12" cm="1" t="str">
        <f t="array" ref="I61">IF(C61="","",IF(OR(H61="",H61=0,H61=FALSE),"-",H61))</f>
        <v/>
      </c>
      <c r="J61" s="13">
</c>
      <c r="K61" s="9">
</c>
      <c r="L61" s="9" cm="1" t="str">
        <f t="array" ref="L61">IF(C61="","",IF(K61="Mort / Plus rien à faire","KO","OK"))</f>
        <v/>
      </c>
      <c r="M61" s="14">
</c>
      <c r="N61" s="14" cm="1" t="str">
        <f t="array" ref="N61">IF(OR(C61="",M61="",M61=0),"",M61)</f>
        <v/>
      </c>
      <c r="O61" s="14">
</c>
      <c r="P61" s="14" cm="1" t="str">
        <f t="array" ref="P61">IF(C61="","",IF(OR(O61="",O61=0),"-",O61))</f>
        <v/>
      </c>
      <c r="Q61" s="15">
</c>
      <c r="R61" s="9" cm="1" t="str">
        <f t="array" ref="R61">IF(C61="","",ROUND(Q61/1000000,3)&amp;" M€")</f>
        <v/>
      </c>
      <c r="S61" s="16">
</c>
      <c r="T61" s="9" cm="1" t="str">
        <f t="array" ref="T61">IF(C61="","",SUBSTITUTE(S61,"","")&amp;"%")</f>
        <v/>
      </c>
      <c r="U61" s="12" cm="1" t="str">
        <f t="array" ref="U61">IF(($N61="")*($P61=""),"",IF(($N61&lt;&gt;"")*($N61&gt;TODAY()-9)*($N61&lt;TODAY()+1)*($P61&lt;&gt;"")*($P61&gt;=TODAY())*($P61&lt;=TODAY()+13),"Semaine passée &amp; à venir",IF(($N61&lt;&gt;"")*($N61&gt;TODAY()-9)*($N61&lt;TODAY()+1),"Semaine passée",IF(($P61&lt;&gt;"")*($P61&gt;=TODAY())*($P61&lt;=TODAY()+13),"À venir","Autre"))))</f>
        <v/>
      </c>
      <c r="V61" cm="1" t="n">
        <f t="array" ref="V61">IF(C61&lt;&gt;"",1,0)</f>
        <v>0</v>
      </c>
    </row>
    <row r="62" ht="78.75" customHeight="1">
      <c r="A62" s="9">
</c>
      <c r="B62" s="9">
</c>
      <c r="C62" s="10">
</c>
      <c r="D62" s="11">
</c>
      <c r="E62" s="9">
</c>
      <c r="F62" s="13">
</c>
      <c r="G62" s="12" cm="1" t="str">
        <f t="array" ref="G62">IF(F62="","",SUBSTITUTE(SUBSTITUTE(SUBSTITUTE(SUBSTITUTE(F62,"&lt;li&gt;",CHAR(10)),"&lt;/li&gt;",""),"&lt;br&gt;",CHAR(10)),"&lt;strong&gt;",""))</f>
        <v/>
      </c>
      <c r="H62" s="12" cm="1" t="str">
        <f t="array" ref="H62">IF(G62="","",SUBSTITUTE(SUBSTITUTE(SUBSTITUTE(SUBSTITUTE(SUBSTITUTE(G62,"&lt;p&gt;",""),"&lt;/p&gt;",""),"&lt;ul&gt;",""),"&lt;/ul&gt;",""),"&lt;/strong&gt;",""))</f>
        <v/>
      </c>
      <c r="I62" s="12" cm="1" t="str">
        <f t="array" ref="I62">IF(C62="","",IF(OR(H62="",H62=0,H62=FALSE),"-",H62))</f>
        <v/>
      </c>
      <c r="J62" s="13">
</c>
      <c r="K62" s="9">
</c>
      <c r="L62" s="9" cm="1" t="str">
        <f t="array" ref="L62">IF(C62="","",IF(K62="Mort / Plus rien à faire","KO","OK"))</f>
        <v/>
      </c>
      <c r="M62" s="14">
</c>
      <c r="N62" s="14" cm="1" t="str">
        <f t="array" ref="N62">IF(OR(C62="",M62="",M62=0),"",M62)</f>
        <v/>
      </c>
      <c r="O62" s="14">
</c>
      <c r="P62" s="14" cm="1" t="str">
        <f t="array" ref="P62">IF(C62="","",IF(OR(O62="",O62=0),"-",O62))</f>
        <v/>
      </c>
      <c r="Q62" s="15">
</c>
      <c r="R62" s="9" cm="1" t="str">
        <f t="array" ref="R62">IF(C62="","",ROUND(Q62/1000000,3)&amp;" M€")</f>
        <v/>
      </c>
      <c r="S62" s="16">
</c>
      <c r="T62" s="9" cm="1" t="str">
        <f t="array" ref="T62">IF(C62="","",SUBSTITUTE(S62,"","")&amp;"%")</f>
        <v/>
      </c>
      <c r="U62" s="12" cm="1" t="str">
        <f t="array" ref="U62">IF(($N62="")*($P62=""),"",IF(($N62&lt;&gt;"")*($N62&gt;TODAY()-9)*($N62&lt;TODAY()+1)*($P62&lt;&gt;"")*($P62&gt;=TODAY())*($P62&lt;=TODAY()+13),"Semaine passée &amp; à venir",IF(($N62&lt;&gt;"")*($N62&gt;TODAY()-9)*($N62&lt;TODAY()+1),"Semaine passée",IF(($P62&lt;&gt;"")*($P62&gt;=TODAY())*($P62&lt;=TODAY()+13),"À venir","Autre"))))</f>
        <v/>
      </c>
      <c r="V62" cm="1" t="n">
        <f t="array" ref="V62">IF(C62&lt;&gt;"",1,0)</f>
        <v>0</v>
      </c>
    </row>
    <row r="63" ht="78.75" customHeight="1">
      <c r="A63" s="9">
</c>
      <c r="B63" s="9">
</c>
      <c r="C63" s="10">
</c>
      <c r="D63" s="11">
</c>
      <c r="E63" s="9">
</c>
      <c r="F63" s="13">
</c>
      <c r="G63" s="12" cm="1" t="str">
        <f t="array" ref="G63">IF(F63="","",SUBSTITUTE(SUBSTITUTE(SUBSTITUTE(SUBSTITUTE(F63,"&lt;li&gt;",CHAR(10)),"&lt;/li&gt;",""),"&lt;br&gt;",CHAR(10)),"&lt;strong&gt;",""))</f>
        <v/>
      </c>
      <c r="H63" s="12" cm="1" t="str">
        <f t="array" ref="H63">IF(G63="","",SUBSTITUTE(SUBSTITUTE(SUBSTITUTE(SUBSTITUTE(SUBSTITUTE(G63,"&lt;p&gt;",""),"&lt;/p&gt;",""),"&lt;ul&gt;",""),"&lt;/ul&gt;",""),"&lt;/strong&gt;",""))</f>
        <v/>
      </c>
      <c r="I63" s="12" cm="1" t="str">
        <f t="array" ref="I63">IF(C63="","",IF(OR(H63="",H63=0,H63=FALSE),"-",H63))</f>
        <v/>
      </c>
      <c r="J63" s="13">
</c>
      <c r="K63" s="9">
</c>
      <c r="L63" s="9" cm="1" t="str">
        <f t="array" ref="L63">IF(C63="","",IF(K63="Mort / Plus rien à faire","KO","OK"))</f>
        <v/>
      </c>
      <c r="M63" s="14">
</c>
      <c r="N63" s="14" cm="1" t="str">
        <f t="array" ref="N63">IF(OR(C63="",M63="",M63=0),"",M63)</f>
        <v/>
      </c>
      <c r="O63" s="14">
</c>
      <c r="P63" s="14" cm="1" t="str">
        <f t="array" ref="P63">IF(C63="","",IF(OR(O63="",O63=0),"-",O63))</f>
        <v/>
      </c>
      <c r="Q63" s="15">
</c>
      <c r="R63" s="9" cm="1" t="str">
        <f t="array" ref="R63">IF(C63="","",ROUND(Q63/1000000,3)&amp;" M€")</f>
        <v/>
      </c>
      <c r="S63" s="16">
</c>
      <c r="T63" s="9" cm="1" t="str">
        <f t="array" ref="T63">IF(C63="","",SUBSTITUTE(S63,"","")&amp;"%")</f>
        <v/>
      </c>
      <c r="U63" s="12" cm="1" t="str">
        <f t="array" ref="U63">IF(($N63="")*($P63=""),"",IF(($N63&lt;&gt;"")*($N63&gt;TODAY()-9)*($N63&lt;TODAY()+1)*($P63&lt;&gt;"")*($P63&gt;=TODAY())*($P63&lt;=TODAY()+13),"Semaine passée &amp; à venir",IF(($N63&lt;&gt;"")*($N63&gt;TODAY()-9)*($N63&lt;TODAY()+1),"Semaine passée",IF(($P63&lt;&gt;"")*($P63&gt;=TODAY())*($P63&lt;=TODAY()+13),"À venir","Autre"))))</f>
        <v/>
      </c>
      <c r="V63" cm="1" t="n">
        <f t="array" ref="V63">IF(C63&lt;&gt;"",1,0)</f>
        <v>0</v>
      </c>
    </row>
    <row r="64" ht="78.75" customHeight="1">
      <c r="A64" s="9">
</c>
      <c r="B64" s="9">
</c>
      <c r="C64" s="10">
</c>
      <c r="D64" s="11">
</c>
      <c r="E64" s="9">
</c>
      <c r="F64" s="13">
</c>
      <c r="G64" s="12" cm="1" t="str">
        <f t="array" ref="G64">IF(F64="","",SUBSTITUTE(SUBSTITUTE(SUBSTITUTE(SUBSTITUTE(F64,"&lt;li&gt;",CHAR(10)),"&lt;/li&gt;",""),"&lt;br&gt;",CHAR(10)),"&lt;strong&gt;",""))</f>
        <v/>
      </c>
      <c r="H64" s="12" cm="1" t="str">
        <f t="array" ref="H64">IF(G64="","",SUBSTITUTE(SUBSTITUTE(SUBSTITUTE(SUBSTITUTE(SUBSTITUTE(G64,"&lt;p&gt;",""),"&lt;/p&gt;",""),"&lt;ul&gt;",""),"&lt;/ul&gt;",""),"&lt;/strong&gt;",""))</f>
        <v/>
      </c>
      <c r="I64" s="12" cm="1" t="str">
        <f t="array" ref="I64">IF(C64="","",IF(OR(H64="",H64=0,H64=FALSE),"-",H64))</f>
        <v/>
      </c>
      <c r="J64" s="13">
</c>
      <c r="K64" s="9">
</c>
      <c r="L64" s="9" cm="1" t="str">
        <f t="array" ref="L64">IF(C64="","",IF(K64="Mort / Plus rien à faire","KO","OK"))</f>
        <v/>
      </c>
      <c r="M64" s="14">
</c>
      <c r="N64" s="14" cm="1" t="str">
        <f t="array" ref="N64">IF(OR(C64="",M64="",M64=0),"",M64)</f>
        <v/>
      </c>
      <c r="O64" s="14">
</c>
      <c r="P64" s="14" cm="1" t="str">
        <f t="array" ref="P64">IF(C64="","",IF(OR(O64="",O64=0),"-",O64))</f>
        <v/>
      </c>
      <c r="Q64" s="15">
</c>
      <c r="R64" s="9" cm="1" t="str">
        <f t="array" ref="R64">IF(C64="","",ROUND(Q64/1000000,3)&amp;" M€")</f>
        <v/>
      </c>
      <c r="S64" s="16">
</c>
      <c r="T64" s="9" cm="1" t="str">
        <f t="array" ref="T64">IF(C64="","",SUBSTITUTE(S64,"","")&amp;"%")</f>
        <v/>
      </c>
      <c r="U64" s="12" cm="1" t="str">
        <f t="array" ref="U64">IF(($N64="")*($P64=""),"",IF(($N64&lt;&gt;"")*($N64&gt;TODAY()-9)*($N64&lt;TODAY()+1)*($P64&lt;&gt;"")*($P64&gt;=TODAY())*($P64&lt;=TODAY()+13),"Semaine passée &amp; à venir",IF(($N64&lt;&gt;"")*($N64&gt;TODAY()-9)*($N64&lt;TODAY()+1),"Semaine passée",IF(($P64&lt;&gt;"")*($P64&gt;=TODAY())*($P64&lt;=TODAY()+13),"À venir","Autre"))))</f>
        <v/>
      </c>
      <c r="V64" cm="1" t="n">
        <f t="array" ref="V64">IF(C64&lt;&gt;"",1,0)</f>
        <v>0</v>
      </c>
    </row>
    <row r="65" ht="78.75" customHeight="1">
      <c r="A65" s="9">
</c>
      <c r="B65" s="9">
</c>
      <c r="C65" s="10">
</c>
      <c r="D65" s="11">
</c>
      <c r="E65" s="9">
</c>
      <c r="F65" s="13">
</c>
      <c r="G65" s="12" cm="1" t="str">
        <f t="array" ref="G65">IF(F65="","",SUBSTITUTE(SUBSTITUTE(SUBSTITUTE(SUBSTITUTE(F65,"&lt;li&gt;",CHAR(10)),"&lt;/li&gt;",""),"&lt;br&gt;",CHAR(10)),"&lt;strong&gt;",""))</f>
        <v/>
      </c>
      <c r="H65" s="12" cm="1" t="str">
        <f t="array" ref="H65">IF(G65="","",SUBSTITUTE(SUBSTITUTE(SUBSTITUTE(SUBSTITUTE(SUBSTITUTE(G65,"&lt;p&gt;",""),"&lt;/p&gt;",""),"&lt;ul&gt;",""),"&lt;/ul&gt;",""),"&lt;/strong&gt;",""))</f>
        <v/>
      </c>
      <c r="I65" s="12" cm="1" t="str">
        <f t="array" ref="I65">IF(C65="","",IF(OR(H65="",H65=0,H65=FALSE),"-",H65))</f>
        <v/>
      </c>
      <c r="J65" s="13">
</c>
      <c r="K65" s="9">
</c>
      <c r="L65" s="9" cm="1" t="str">
        <f t="array" ref="L65">IF(C65="","",IF(K65="Mort / Plus rien à faire","KO","OK"))</f>
        <v/>
      </c>
      <c r="M65" s="14">
</c>
      <c r="N65" s="14" cm="1" t="str">
        <f t="array" ref="N65">IF(OR(C65="",M65="",M65=0),"",M65)</f>
        <v/>
      </c>
      <c r="O65" s="14">
</c>
      <c r="P65" s="14" cm="1" t="str">
        <f t="array" ref="P65">IF(C65="","",IF(OR(O65="",O65=0),"-",O65))</f>
        <v/>
      </c>
      <c r="Q65" s="15">
</c>
      <c r="R65" s="9" cm="1" t="str">
        <f t="array" ref="R65">IF(C65="","",ROUND(Q65/1000000,3)&amp;" M€")</f>
        <v/>
      </c>
      <c r="S65" s="16">
</c>
      <c r="T65" s="9" cm="1" t="str">
        <f t="array" ref="T65">IF(C65="","",SUBSTITUTE(S65,"","")&amp;"%")</f>
        <v/>
      </c>
      <c r="U65" s="12" cm="1" t="str">
        <f t="array" ref="U65">IF(($N65="")*($P65=""),"",IF(($N65&lt;&gt;"")*($N65&gt;TODAY()-9)*($N65&lt;TODAY()+1)*($P65&lt;&gt;"")*($P65&gt;=TODAY())*($P65&lt;=TODAY()+13),"Semaine passée &amp; à venir",IF(($N65&lt;&gt;"")*($N65&gt;TODAY()-9)*($N65&lt;TODAY()+1),"Semaine passée",IF(($P65&lt;&gt;"")*($P65&gt;=TODAY())*($P65&lt;=TODAY()+13),"À venir","Autre"))))</f>
        <v/>
      </c>
      <c r="V65" cm="1" t="n">
        <f t="array" ref="V65">IF(C65&lt;&gt;"",1,0)</f>
        <v>0</v>
      </c>
    </row>
    <row r="66" ht="78.75" customHeight="1">
      <c r="A66" s="9">
</c>
      <c r="B66" s="9">
</c>
      <c r="C66" s="10">
</c>
      <c r="D66" s="11">
</c>
      <c r="E66" s="9">
</c>
      <c r="F66" s="13">
</c>
      <c r="G66" s="12" cm="1" t="str">
        <f t="array" ref="G66">IF(F66="","",SUBSTITUTE(SUBSTITUTE(SUBSTITUTE(SUBSTITUTE(F66,"&lt;li&gt;",CHAR(10)),"&lt;/li&gt;",""),"&lt;br&gt;",CHAR(10)),"&lt;strong&gt;",""))</f>
        <v/>
      </c>
      <c r="H66" s="12" cm="1" t="str">
        <f t="array" ref="H66">IF(G66="","",SUBSTITUTE(SUBSTITUTE(SUBSTITUTE(SUBSTITUTE(SUBSTITUTE(G66,"&lt;p&gt;",""),"&lt;/p&gt;",""),"&lt;ul&gt;",""),"&lt;/ul&gt;",""),"&lt;/strong&gt;",""))</f>
        <v/>
      </c>
      <c r="I66" s="12" cm="1" t="str">
        <f t="array" ref="I66">IF(C66="","",IF(OR(H66="",H66=0,H66=FALSE),"-",H66))</f>
        <v/>
      </c>
      <c r="J66" s="13">
</c>
      <c r="K66" s="9">
</c>
      <c r="L66" s="9" cm="1" t="str">
        <f t="array" ref="L66">IF(C66="","",IF(K66="Mort / Plus rien à faire","KO","OK"))</f>
        <v/>
      </c>
      <c r="M66" s="14">
</c>
      <c r="N66" s="14" cm="1" t="str">
        <f t="array" ref="N66">IF(OR(C66="",M66="",M66=0),"",M66)</f>
        <v/>
      </c>
      <c r="O66" s="14">
</c>
      <c r="P66" s="14" cm="1" t="str">
        <f t="array" ref="P66">IF(C66="","",IF(OR(O66="",O66=0),"-",O66))</f>
        <v/>
      </c>
      <c r="Q66" s="15">
</c>
      <c r="R66" s="9" cm="1" t="str">
        <f t="array" ref="R66">IF(C66="","",ROUND(Q66/1000000,3)&amp;" M€")</f>
        <v/>
      </c>
      <c r="S66" s="16">
</c>
      <c r="T66" s="9" cm="1" t="str">
        <f t="array" ref="T66">IF(C66="","",SUBSTITUTE(S66,"","")&amp;"%")</f>
        <v/>
      </c>
      <c r="U66" s="12" cm="1" t="str">
        <f t="array" ref="U66">IF(($N66="")*($P66=""),"",IF(($N66&lt;&gt;"")*($N66&gt;TODAY()-9)*($N66&lt;TODAY()+1)*($P66&lt;&gt;"")*($P66&gt;=TODAY())*($P66&lt;=TODAY()+13),"Semaine passée &amp; à venir",IF(($N66&lt;&gt;"")*($N66&gt;TODAY()-9)*($N66&lt;TODAY()+1),"Semaine passée",IF(($P66&lt;&gt;"")*($P66&gt;=TODAY())*($P66&lt;=TODAY()+13),"À venir","Autre"))))</f>
        <v/>
      </c>
      <c r="V66" cm="1" t="n">
        <f t="array" ref="V66">IF(C66&lt;&gt;"",1,0)</f>
        <v>0</v>
      </c>
    </row>
    <row r="67" ht="78.75" customHeight="1">
      <c r="A67" s="9">
</c>
      <c r="B67" s="9">
</c>
      <c r="C67" s="10">
</c>
      <c r="D67" s="11">
</c>
      <c r="E67" s="9">
</c>
      <c r="F67" s="13">
</c>
      <c r="G67" s="12" cm="1" t="str">
        <f t="array" ref="G67">IF(F67="","",SUBSTITUTE(SUBSTITUTE(SUBSTITUTE(SUBSTITUTE(F67,"&lt;li&gt;",CHAR(10)),"&lt;/li&gt;",""),"&lt;br&gt;",CHAR(10)),"&lt;strong&gt;",""))</f>
        <v/>
      </c>
      <c r="H67" s="12" cm="1" t="str">
        <f t="array" ref="H67">IF(G67="","",SUBSTITUTE(SUBSTITUTE(SUBSTITUTE(SUBSTITUTE(SUBSTITUTE(G67,"&lt;p&gt;",""),"&lt;/p&gt;",""),"&lt;ul&gt;",""),"&lt;/ul&gt;",""),"&lt;/strong&gt;",""))</f>
        <v/>
      </c>
      <c r="I67" s="12" cm="1" t="str">
        <f t="array" ref="I67">IF(C67="","",IF(OR(H67="",H67=0,H67=FALSE),"-",H67))</f>
        <v/>
      </c>
      <c r="J67" s="13">
</c>
      <c r="K67" s="9">
</c>
      <c r="L67" s="9" cm="1" t="str">
        <f t="array" ref="L67">IF(C67="","",IF(K67="Mort / Plus rien à faire","KO","OK"))</f>
        <v/>
      </c>
      <c r="M67" s="14">
</c>
      <c r="N67" s="14" cm="1" t="str">
        <f t="array" ref="N67">IF(OR(C67="",M67="",M67=0),"",M67)</f>
        <v/>
      </c>
      <c r="O67" s="14">
</c>
      <c r="P67" s="14" cm="1" t="str">
        <f t="array" ref="P67">IF(C67="","",IF(OR(O67="",O67=0),"-",O67))</f>
        <v/>
      </c>
      <c r="Q67" s="15">
</c>
      <c r="R67" s="9" cm="1" t="str">
        <f t="array" ref="R67">IF(C67="","",ROUND(Q67/1000000,3)&amp;" M€")</f>
        <v/>
      </c>
      <c r="S67" s="16">
</c>
      <c r="T67" s="9" cm="1" t="str">
        <f t="array" ref="T67">IF(C67="","",SUBSTITUTE(S67,"","")&amp;"%")</f>
        <v/>
      </c>
      <c r="U67" s="12" cm="1" t="str">
        <f t="array" ref="U67">IF(($N67="")*($P67=""),"",IF(($N67&lt;&gt;"")*($N67&gt;TODAY()-9)*($N67&lt;TODAY()+1)*($P67&lt;&gt;"")*($P67&gt;=TODAY())*($P67&lt;=TODAY()+13),"Semaine passée &amp; à venir",IF(($N67&lt;&gt;"")*($N67&gt;TODAY()-9)*($N67&lt;TODAY()+1),"Semaine passée",IF(($P67&lt;&gt;"")*($P67&gt;=TODAY())*($P67&lt;=TODAY()+13),"À venir","Autre"))))</f>
        <v/>
      </c>
      <c r="V67" cm="1" t="n">
        <f t="array" ref="V67">IF(C67&lt;&gt;"",1,0)</f>
        <v>0</v>
      </c>
    </row>
    <row r="68" ht="78.75" customHeight="1">
      <c r="A68" s="9">
</c>
      <c r="B68" s="9">
</c>
      <c r="C68" s="10">
</c>
      <c r="D68" s="11">
</c>
      <c r="E68" s="9">
</c>
      <c r="F68" s="13">
</c>
      <c r="G68" s="12" cm="1" t="str">
        <f t="array" ref="G68">IF(F68="","",SUBSTITUTE(SUBSTITUTE(SUBSTITUTE(SUBSTITUTE(F68,"&lt;li&gt;",CHAR(10)),"&lt;/li&gt;",""),"&lt;br&gt;",CHAR(10)),"&lt;strong&gt;",""))</f>
        <v/>
      </c>
      <c r="H68" s="12" cm="1" t="str">
        <f t="array" ref="H68">IF(G68="","",SUBSTITUTE(SUBSTITUTE(SUBSTITUTE(SUBSTITUTE(SUBSTITUTE(G68,"&lt;p&gt;",""),"&lt;/p&gt;",""),"&lt;ul&gt;",""),"&lt;/ul&gt;",""),"&lt;/strong&gt;",""))</f>
        <v/>
      </c>
      <c r="I68" s="12" cm="1" t="str">
        <f t="array" ref="I68">IF(C68="","",IF(OR(H68="",H68=0,H68=FALSE),"-",H68))</f>
        <v/>
      </c>
      <c r="J68" s="13">
</c>
      <c r="K68" s="9">
</c>
      <c r="L68" s="9" cm="1" t="str">
        <f t="array" ref="L68">IF(C68="","",IF(K68="Mort / Plus rien à faire","KO","OK"))</f>
        <v/>
      </c>
      <c r="M68" s="14">
</c>
      <c r="N68" s="14" cm="1" t="str">
        <f t="array" ref="N68">IF(OR(C68="",M68="",M68=0),"",M68)</f>
        <v/>
      </c>
      <c r="O68" s="14">
</c>
      <c r="P68" s="14" cm="1" t="str">
        <f t="array" ref="P68">IF(C68="","",IF(OR(O68="",O68=0),"-",O68))</f>
        <v/>
      </c>
      <c r="Q68" s="15">
</c>
      <c r="R68" s="9" cm="1" t="str">
        <f t="array" ref="R68">IF(C68="","",ROUND(Q68/1000000,3)&amp;" M€")</f>
        <v/>
      </c>
      <c r="S68" s="16">
</c>
      <c r="T68" s="9" cm="1" t="str">
        <f t="array" ref="T68">IF(C68="","",SUBSTITUTE(S68,"","")&amp;"%")</f>
        <v/>
      </c>
      <c r="U68" s="12" cm="1" t="str">
        <f t="array" ref="U68">IF(($N68="")*($P68=""),"",IF(($N68&lt;&gt;"")*($N68&gt;TODAY()-9)*($N68&lt;TODAY()+1)*($P68&lt;&gt;"")*($P68&gt;=TODAY())*($P68&lt;=TODAY()+13),"Semaine passée &amp; à venir",IF(($N68&lt;&gt;"")*($N68&gt;TODAY()-9)*($N68&lt;TODAY()+1),"Semaine passée",IF(($P68&lt;&gt;"")*($P68&gt;=TODAY())*($P68&lt;=TODAY()+13),"À venir","Autre"))))</f>
        <v/>
      </c>
      <c r="V68" cm="1" t="n">
        <f t="array" ref="V68">IF(C68&lt;&gt;"",1,0)</f>
        <v>0</v>
      </c>
    </row>
    <row r="69" ht="78.75" customHeight="1">
      <c r="A69" s="9">
</c>
      <c r="B69" s="9">
</c>
      <c r="C69" s="10">
</c>
      <c r="D69" s="11">
</c>
      <c r="E69" s="9">
</c>
      <c r="F69" s="13">
</c>
      <c r="G69" s="12" cm="1" t="str">
        <f t="array" ref="G69">IF(F69="","",SUBSTITUTE(SUBSTITUTE(SUBSTITUTE(SUBSTITUTE(F69,"&lt;li&gt;",CHAR(10)),"&lt;/li&gt;",""),"&lt;br&gt;",CHAR(10)),"&lt;strong&gt;",""))</f>
        <v/>
      </c>
      <c r="H69" s="12" cm="1" t="str">
        <f t="array" ref="H69">IF(G69="","",SUBSTITUTE(SUBSTITUTE(SUBSTITUTE(SUBSTITUTE(SUBSTITUTE(G69,"&lt;p&gt;",""),"&lt;/p&gt;",""),"&lt;ul&gt;",""),"&lt;/ul&gt;",""),"&lt;/strong&gt;",""))</f>
        <v/>
      </c>
      <c r="I69" s="12" cm="1" t="str">
        <f t="array" ref="I69">IF(C69="","",IF(OR(H69="",H69=0,H69=FALSE),"-",H69))</f>
        <v/>
      </c>
      <c r="J69" s="13">
</c>
      <c r="K69" s="9">
</c>
      <c r="L69" s="9" cm="1" t="str">
        <f t="array" ref="L69">IF(C69="","",IF(K69="Mort / Plus rien à faire","KO","OK"))</f>
        <v/>
      </c>
      <c r="M69" s="14">
</c>
      <c r="N69" s="14" cm="1" t="str">
        <f t="array" ref="N69">IF(OR(C69="",M69="",M69=0),"",M69)</f>
        <v/>
      </c>
      <c r="O69" s="14">
</c>
      <c r="P69" s="14" cm="1" t="str">
        <f t="array" ref="P69">IF(C69="","",IF(OR(O69="",O69=0),"-",O69))</f>
        <v/>
      </c>
      <c r="Q69" s="15">
</c>
      <c r="R69" s="9" cm="1" t="str">
        <f t="array" ref="R69">IF(C69="","",ROUND(Q69/1000000,3)&amp;" M€")</f>
        <v/>
      </c>
      <c r="S69" s="16">
</c>
      <c r="T69" s="9" cm="1" t="str">
        <f t="array" ref="T69">IF(C69="","",SUBSTITUTE(S69,"","")&amp;"%")</f>
        <v/>
      </c>
      <c r="U69" s="12" cm="1" t="str">
        <f t="array" ref="U69">IF(($N69="")*($P69=""),"",IF(($N69&lt;&gt;"")*($N69&gt;TODAY()-9)*($N69&lt;TODAY()+1)*($P69&lt;&gt;"")*($P69&gt;=TODAY())*($P69&lt;=TODAY()+13),"Semaine passée &amp; à venir",IF(($N69&lt;&gt;"")*($N69&gt;TODAY()-9)*($N69&lt;TODAY()+1),"Semaine passée",IF(($P69&lt;&gt;"")*($P69&gt;=TODAY())*($P69&lt;=TODAY()+13),"À venir","Autre"))))</f>
        <v/>
      </c>
      <c r="V69" cm="1" t="n">
        <f t="array" ref="V69">IF(C69&lt;&gt;"",1,0)</f>
        <v>0</v>
      </c>
    </row>
    <row r="70" ht="78.75" customHeight="1">
      <c r="A70" s="9">
</c>
      <c r="B70" s="9">
</c>
      <c r="C70" s="10">
</c>
      <c r="D70" s="11">
</c>
      <c r="E70" s="9">
</c>
      <c r="F70" s="13">
</c>
      <c r="G70" s="12" cm="1" t="str">
        <f t="array" ref="G70">IF(F70="","",SUBSTITUTE(SUBSTITUTE(SUBSTITUTE(SUBSTITUTE(F70,"&lt;li&gt;",CHAR(10)),"&lt;/li&gt;",""),"&lt;br&gt;",CHAR(10)),"&lt;strong&gt;",""))</f>
        <v/>
      </c>
      <c r="H70" s="12" cm="1" t="str">
        <f t="array" ref="H70">IF(G70="","",SUBSTITUTE(SUBSTITUTE(SUBSTITUTE(SUBSTITUTE(SUBSTITUTE(G70,"&lt;p&gt;",""),"&lt;/p&gt;",""),"&lt;ul&gt;",""),"&lt;/ul&gt;",""),"&lt;/strong&gt;",""))</f>
        <v/>
      </c>
      <c r="I70" s="12" cm="1" t="str">
        <f t="array" ref="I70">IF(C70="","",IF(OR(H70="",H70=0,H70=FALSE),"-",H70))</f>
        <v/>
      </c>
      <c r="J70" s="13">
</c>
      <c r="K70" s="9">
</c>
      <c r="L70" s="9" cm="1" t="str">
        <f t="array" ref="L70">IF(C70="","",IF(K70="Mort / Plus rien à faire","KO","OK"))</f>
        <v/>
      </c>
      <c r="M70" s="14">
</c>
      <c r="N70" s="14" cm="1" t="str">
        <f t="array" ref="N70">IF(OR(C70="",M70="",M70=0),"",M70)</f>
        <v/>
      </c>
      <c r="O70" s="14">
</c>
      <c r="P70" s="14" cm="1" t="str">
        <f t="array" ref="P70">IF(C70="","",IF(OR(O70="",O70=0),"-",O70))</f>
        <v/>
      </c>
      <c r="Q70" s="15">
</c>
      <c r="R70" s="9" cm="1" t="str">
        <f t="array" ref="R70">IF(C70="","",ROUND(Q70/1000000,3)&amp;" M€")</f>
        <v/>
      </c>
      <c r="S70" s="16">
</c>
      <c r="T70" s="9" cm="1" t="str">
        <f t="array" ref="T70">IF(C70="","",SUBSTITUTE(S70,"","")&amp;"%")</f>
        <v/>
      </c>
      <c r="U70" s="12" cm="1" t="str">
        <f t="array" ref="U70">IF(($N70="")*($P70=""),"",IF(($N70&lt;&gt;"")*($N70&gt;TODAY()-9)*($N70&lt;TODAY()+1)*($P70&lt;&gt;"")*($P70&gt;=TODAY())*($P70&lt;=TODAY()+13),"Semaine passée &amp; à venir",IF(($N70&lt;&gt;"")*($N70&gt;TODAY()-9)*($N70&lt;TODAY()+1),"Semaine passée",IF(($P70&lt;&gt;"")*($P70&gt;=TODAY())*($P70&lt;=TODAY()+13),"À venir","Autre"))))</f>
        <v/>
      </c>
      <c r="V70" cm="1" t="n">
        <f t="array" ref="V70">IF(C70&lt;&gt;"",1,0)</f>
        <v>0</v>
      </c>
    </row>
    <row r="71" ht="78.75" customHeight="1">
      <c r="A71" s="9">
</c>
      <c r="B71" s="9">
</c>
      <c r="C71" s="10">
</c>
      <c r="D71" s="11">
</c>
      <c r="E71" s="9">
</c>
      <c r="F71" s="13">
</c>
      <c r="G71" s="12" cm="1" t="str">
        <f t="array" ref="G71">IF(F71="","",SUBSTITUTE(SUBSTITUTE(SUBSTITUTE(SUBSTITUTE(F71,"&lt;li&gt;",CHAR(10)),"&lt;/li&gt;",""),"&lt;br&gt;",CHAR(10)),"&lt;strong&gt;",""))</f>
        <v/>
      </c>
      <c r="H71" s="12" cm="1" t="str">
        <f t="array" ref="H71">IF(G71="","",SUBSTITUTE(SUBSTITUTE(SUBSTITUTE(SUBSTITUTE(SUBSTITUTE(G71,"&lt;p&gt;",""),"&lt;/p&gt;",""),"&lt;ul&gt;",""),"&lt;/ul&gt;",""),"&lt;/strong&gt;",""))</f>
        <v/>
      </c>
      <c r="I71" s="12" cm="1" t="str">
        <f t="array" ref="I71">IF(C71="","",IF(OR(H71="",H71=0,H71=FALSE),"-",H71))</f>
        <v/>
      </c>
      <c r="J71" s="13">
</c>
      <c r="K71" s="9">
</c>
      <c r="L71" s="9" cm="1" t="str">
        <f t="array" ref="L71">IF(C71="","",IF(K71="Mort / Plus rien à faire","KO","OK"))</f>
        <v/>
      </c>
      <c r="M71" s="14">
</c>
      <c r="N71" s="14" cm="1" t="str">
        <f t="array" ref="N71">IF(OR(C71="",M71="",M71=0),"",M71)</f>
        <v/>
      </c>
      <c r="O71" s="14">
</c>
      <c r="P71" s="14" cm="1" t="str">
        <f t="array" ref="P71">IF(C71="","",IF(OR(O71="",O71=0),"-",O71))</f>
        <v/>
      </c>
      <c r="Q71" s="15">
</c>
      <c r="R71" s="9" cm="1" t="str">
        <f t="array" ref="R71">IF(C71="","",ROUND(Q71/1000000,3)&amp;" M€")</f>
        <v/>
      </c>
      <c r="S71" s="16">
</c>
      <c r="T71" s="9" cm="1" t="str">
        <f t="array" ref="T71">IF(C71="","",SUBSTITUTE(S71,"","")&amp;"%")</f>
        <v/>
      </c>
      <c r="U71" s="12" cm="1" t="str">
        <f t="array" ref="U71">IF(($N71="")*($P71=""),"",IF(($N71&lt;&gt;"")*($N71&gt;TODAY()-9)*($N71&lt;TODAY()+1)*($P71&lt;&gt;"")*($P71&gt;=TODAY())*($P71&lt;=TODAY()+13),"Semaine passée &amp; à venir",IF(($N71&lt;&gt;"")*($N71&gt;TODAY()-9)*($N71&lt;TODAY()+1),"Semaine passée",IF(($P71&lt;&gt;"")*($P71&gt;=TODAY())*($P71&lt;=TODAY()+13),"À venir","Autre"))))</f>
        <v/>
      </c>
      <c r="V71" cm="1" t="n">
        <f t="array" ref="V71">IF(C71&lt;&gt;"",1,0)</f>
        <v>0</v>
      </c>
    </row>
    <row r="72" ht="78.75" customHeight="1">
      <c r="A72" s="9">
</c>
      <c r="B72" s="9">
</c>
      <c r="C72" s="10">
</c>
      <c r="D72" s="11">
</c>
      <c r="E72" s="9">
</c>
      <c r="F72" s="13">
</c>
      <c r="G72" s="12" cm="1" t="str">
        <f t="array" ref="G72">IF(F72="","",SUBSTITUTE(SUBSTITUTE(SUBSTITUTE(SUBSTITUTE(F72,"&lt;li&gt;",CHAR(10)),"&lt;/li&gt;",""),"&lt;br&gt;",CHAR(10)),"&lt;strong&gt;",""))</f>
        <v/>
      </c>
      <c r="H72" s="12" cm="1" t="str">
        <f t="array" ref="H72">IF(G72="","",SUBSTITUTE(SUBSTITUTE(SUBSTITUTE(SUBSTITUTE(SUBSTITUTE(G72,"&lt;p&gt;",""),"&lt;/p&gt;",""),"&lt;ul&gt;",""),"&lt;/ul&gt;",""),"&lt;/strong&gt;",""))</f>
        <v/>
      </c>
      <c r="I72" s="12" cm="1" t="str">
        <f t="array" ref="I72">IF(C72="","",IF(OR(H72="",H72=0,H72=FALSE),"-",H72))</f>
        <v/>
      </c>
      <c r="J72" s="13">
</c>
      <c r="K72" s="9">
</c>
      <c r="L72" s="9" cm="1" t="str">
        <f t="array" ref="L72">IF(C72="","",IF(K72="Mort / Plus rien à faire","KO","OK"))</f>
        <v/>
      </c>
      <c r="M72" s="14">
</c>
      <c r="N72" s="14" cm="1" t="str">
        <f t="array" ref="N72">IF(OR(C72="",M72="",M72=0),"",M72)</f>
        <v/>
      </c>
      <c r="O72" s="14">
</c>
      <c r="P72" s="14" cm="1" t="str">
        <f t="array" ref="P72">IF(C72="","",IF(OR(O72="",O72=0),"-",O72))</f>
        <v/>
      </c>
      <c r="Q72" s="15">
</c>
      <c r="R72" s="9" cm="1" t="str">
        <f t="array" ref="R72">IF(C72="","",ROUND(Q72/1000000,3)&amp;" M€")</f>
        <v/>
      </c>
      <c r="S72" s="16">
</c>
      <c r="T72" s="9" cm="1" t="str">
        <f t="array" ref="T72">IF(C72="","",SUBSTITUTE(S72,"","")&amp;"%")</f>
        <v/>
      </c>
      <c r="U72" s="12" cm="1" t="str">
        <f t="array" ref="U72">IF(($N72="")*($P72=""),"",IF(($N72&lt;&gt;"")*($N72&gt;TODAY()-9)*($N72&lt;TODAY()+1)*($P72&lt;&gt;"")*($P72&gt;=TODAY())*($P72&lt;=TODAY()+13),"Semaine passée &amp; à venir",IF(($N72&lt;&gt;"")*($N72&gt;TODAY()-9)*($N72&lt;TODAY()+1),"Semaine passée",IF(($P72&lt;&gt;"")*($P72&gt;=TODAY())*($P72&lt;=TODAY()+13),"À venir","Autre"))))</f>
        <v/>
      </c>
      <c r="V72" cm="1" t="n">
        <f t="array" ref="V72">IF(C72&lt;&gt;"",1,0)</f>
        <v>0</v>
      </c>
    </row>
    <row r="73" ht="78.75" customHeight="1">
      <c r="A73" s="9">
</c>
      <c r="B73" s="9">
</c>
      <c r="C73" s="10">
</c>
      <c r="D73" s="11">
</c>
      <c r="E73" s="9">
</c>
      <c r="F73" s="13">
</c>
      <c r="G73" s="12" cm="1" t="str">
        <f t="array" ref="G73">IF(F73="","",SUBSTITUTE(SUBSTITUTE(SUBSTITUTE(SUBSTITUTE(F73,"&lt;li&gt;",CHAR(10)),"&lt;/li&gt;",""),"&lt;br&gt;",CHAR(10)),"&lt;strong&gt;",""))</f>
        <v/>
      </c>
      <c r="H73" s="12" cm="1" t="str">
        <f t="array" ref="H73">IF(G73="","",SUBSTITUTE(SUBSTITUTE(SUBSTITUTE(SUBSTITUTE(SUBSTITUTE(G73,"&lt;p&gt;",""),"&lt;/p&gt;",""),"&lt;ul&gt;",""),"&lt;/ul&gt;",""),"&lt;/strong&gt;",""))</f>
        <v/>
      </c>
      <c r="I73" s="12" cm="1" t="str">
        <f t="array" ref="I73">IF(C73="","",IF(OR(H73="",H73=0,H73=FALSE),"-",H73))</f>
        <v/>
      </c>
      <c r="J73" s="13">
</c>
      <c r="K73" s="9">
</c>
      <c r="L73" s="9" cm="1" t="str">
        <f t="array" ref="L73">IF(C73="","",IF(K73="Mort / Plus rien à faire","KO","OK"))</f>
        <v/>
      </c>
      <c r="M73" s="14">
</c>
      <c r="N73" s="14" cm="1" t="str">
        <f t="array" ref="N73">IF(OR(C73="",M73="",M73=0),"",M73)</f>
        <v/>
      </c>
      <c r="O73" s="14">
</c>
      <c r="P73" s="14" cm="1" t="str">
        <f t="array" ref="P73">IF(C73="","",IF(OR(O73="",O73=0),"-",O73))</f>
        <v/>
      </c>
      <c r="Q73" s="15">
</c>
      <c r="R73" s="9" cm="1" t="str">
        <f t="array" ref="R73">IF(C73="","",ROUND(Q73/1000000,3)&amp;" M€")</f>
        <v/>
      </c>
      <c r="S73" s="16">
</c>
      <c r="T73" s="9" cm="1" t="str">
        <f t="array" ref="T73">IF(C73="","",SUBSTITUTE(S73,"","")&amp;"%")</f>
        <v/>
      </c>
      <c r="U73" s="12" cm="1" t="str">
        <f t="array" ref="U73">IF(($N73="")*($P73=""),"",IF(($N73&lt;&gt;"")*($N73&gt;TODAY()-9)*($N73&lt;TODAY()+1)*($P73&lt;&gt;"")*($P73&gt;=TODAY())*($P73&lt;=TODAY()+13),"Semaine passée &amp; à venir",IF(($N73&lt;&gt;"")*($N73&gt;TODAY()-9)*($N73&lt;TODAY()+1),"Semaine passée",IF(($P73&lt;&gt;"")*($P73&gt;=TODAY())*($P73&lt;=TODAY()+13),"À venir","Autre"))))</f>
        <v/>
      </c>
      <c r="V73" cm="1" t="n">
        <f t="array" ref="V73">IF(C73&lt;&gt;"",1,0)</f>
        <v>0</v>
      </c>
    </row>
    <row r="74" ht="78.75" customHeight="1">
      <c r="A74" s="9">
</c>
      <c r="B74" s="9">
</c>
      <c r="C74" s="10">
</c>
      <c r="D74" s="11">
</c>
      <c r="E74" s="9">
</c>
      <c r="F74" s="13">
</c>
      <c r="G74" s="12" cm="1" t="str">
        <f t="array" ref="G74">IF(F74="","",SUBSTITUTE(SUBSTITUTE(SUBSTITUTE(SUBSTITUTE(F74,"&lt;li&gt;",CHAR(10)),"&lt;/li&gt;",""),"&lt;br&gt;",CHAR(10)),"&lt;strong&gt;",""))</f>
        <v/>
      </c>
      <c r="H74" s="12" cm="1" t="str">
        <f t="array" ref="H74">IF(G74="","",SUBSTITUTE(SUBSTITUTE(SUBSTITUTE(SUBSTITUTE(SUBSTITUTE(G74,"&lt;p&gt;",""),"&lt;/p&gt;",""),"&lt;ul&gt;",""),"&lt;/ul&gt;",""),"&lt;/strong&gt;",""))</f>
        <v/>
      </c>
      <c r="I74" s="12" cm="1" t="str">
        <f t="array" ref="I74">IF(C74="","",IF(OR(H74="",H74=0,H74=FALSE),"-",H74))</f>
        <v/>
      </c>
      <c r="J74" s="13">
</c>
      <c r="K74" s="9">
</c>
      <c r="L74" s="9" cm="1" t="str">
        <f t="array" ref="L74">IF(C74="","",IF(K74="Mort / Plus rien à faire","KO","OK"))</f>
        <v/>
      </c>
      <c r="M74" s="14">
</c>
      <c r="N74" s="14" cm="1" t="str">
        <f t="array" ref="N74">IF(OR(C74="",M74="",M74=0),"",M74)</f>
        <v/>
      </c>
      <c r="O74" s="14">
</c>
      <c r="P74" s="14" cm="1" t="str">
        <f t="array" ref="P74">IF(C74="","",IF(OR(O74="",O74=0),"-",O74))</f>
        <v/>
      </c>
      <c r="Q74" s="15">
</c>
      <c r="R74" s="9" cm="1" t="str">
        <f t="array" ref="R74">IF(C74="","",ROUND(Q74/1000000,3)&amp;" M€")</f>
        <v/>
      </c>
      <c r="S74" s="16">
</c>
      <c r="T74" s="9" cm="1" t="str">
        <f t="array" ref="T74">IF(C74="","",SUBSTITUTE(S74,"","")&amp;"%")</f>
        <v/>
      </c>
      <c r="U74" s="12" cm="1" t="str">
        <f t="array" ref="U74">IF(($N74="")*($P74=""),"",IF(($N74&lt;&gt;"")*($N74&gt;TODAY()-9)*($N74&lt;TODAY()+1)*($P74&lt;&gt;"")*($P74&gt;=TODAY())*($P74&lt;=TODAY()+13),"Semaine passée &amp; à venir",IF(($N74&lt;&gt;"")*($N74&gt;TODAY()-9)*($N74&lt;TODAY()+1),"Semaine passée",IF(($P74&lt;&gt;"")*($P74&gt;=TODAY())*($P74&lt;=TODAY()+13),"À venir","Autre"))))</f>
        <v/>
      </c>
      <c r="V74" cm="1" t="n">
        <f t="array" ref="V74">IF(C74&lt;&gt;"",1,0)</f>
        <v>0</v>
      </c>
    </row>
    <row r="75" ht="78.75" customHeight="1">
      <c r="A75" s="9">
</c>
      <c r="B75" s="9">
</c>
      <c r="C75" s="10">
</c>
      <c r="D75" s="11">
</c>
      <c r="E75" s="9">
</c>
      <c r="F75" s="13">
</c>
      <c r="G75" s="12" cm="1" t="str">
        <f t="array" ref="G75">IF(F75="","",SUBSTITUTE(SUBSTITUTE(SUBSTITUTE(SUBSTITUTE(F75,"&lt;li&gt;",CHAR(10)),"&lt;/li&gt;",""),"&lt;br&gt;",CHAR(10)),"&lt;strong&gt;",""))</f>
        <v/>
      </c>
      <c r="H75" s="12" cm="1" t="str">
        <f t="array" ref="H75">IF(G75="","",SUBSTITUTE(SUBSTITUTE(SUBSTITUTE(SUBSTITUTE(SUBSTITUTE(G75,"&lt;p&gt;",""),"&lt;/p&gt;",""),"&lt;ul&gt;",""),"&lt;/ul&gt;",""),"&lt;/strong&gt;",""))</f>
        <v/>
      </c>
      <c r="I75" s="12" cm="1" t="str">
        <f t="array" ref="I75">IF(C75="","",IF(OR(H75="",H75=0,H75=FALSE),"-",H75))</f>
        <v/>
      </c>
      <c r="J75" s="13">
</c>
      <c r="K75" s="9">
</c>
      <c r="L75" s="9" cm="1" t="str">
        <f t="array" ref="L75">IF(C75="","",IF(K75="Mort / Plus rien à faire","KO","OK"))</f>
        <v/>
      </c>
      <c r="M75" s="14">
</c>
      <c r="N75" s="14" cm="1" t="str">
        <f t="array" ref="N75">IF(OR(C75="",M75="",M75=0),"",M75)</f>
        <v/>
      </c>
      <c r="O75" s="14">
</c>
      <c r="P75" s="14" cm="1" t="str">
        <f t="array" ref="P75">IF(C75="","",IF(OR(O75="",O75=0),"-",O75))</f>
        <v/>
      </c>
      <c r="Q75" s="15">
</c>
      <c r="R75" s="9" cm="1" t="str">
        <f t="array" ref="R75">IF(C75="","",ROUND(Q75/1000000,3)&amp;" M€")</f>
        <v/>
      </c>
      <c r="S75" s="16">
</c>
      <c r="T75" s="9" cm="1" t="str">
        <f t="array" ref="T75">IF(C75="","",SUBSTITUTE(S75,"","")&amp;"%")</f>
        <v/>
      </c>
      <c r="U75" s="12" cm="1" t="str">
        <f t="array" ref="U75">IF(($N75="")*($P75=""),"",IF(($N75&lt;&gt;"")*($N75&gt;TODAY()-9)*($N75&lt;TODAY()+1)*($P75&lt;&gt;"")*($P75&gt;=TODAY())*($P75&lt;=TODAY()+13),"Semaine passée &amp; à venir",IF(($N75&lt;&gt;"")*($N75&gt;TODAY()-9)*($N75&lt;TODAY()+1),"Semaine passée",IF(($P75&lt;&gt;"")*($P75&gt;=TODAY())*($P75&lt;=TODAY()+13),"À venir","Autre"))))</f>
        <v/>
      </c>
      <c r="V75" cm="1" t="n">
        <f t="array" ref="V75">IF(C75&lt;&gt;"",1,0)</f>
        <v>0</v>
      </c>
    </row>
    <row r="76" ht="78.75" customHeight="1">
      <c r="A76" s="9">
</c>
      <c r="B76" s="9">
</c>
      <c r="C76" s="10">
</c>
      <c r="D76" s="11">
</c>
      <c r="E76" s="9">
</c>
      <c r="F76" s="13">
</c>
      <c r="G76" s="12" cm="1" t="str">
        <f t="array" ref="G76">IF(F76="","",SUBSTITUTE(SUBSTITUTE(SUBSTITUTE(SUBSTITUTE(F76,"&lt;li&gt;",CHAR(10)),"&lt;/li&gt;",""),"&lt;br&gt;",CHAR(10)),"&lt;strong&gt;",""))</f>
        <v/>
      </c>
      <c r="H76" s="12" cm="1" t="str">
        <f t="array" ref="H76">IF(G76="","",SUBSTITUTE(SUBSTITUTE(SUBSTITUTE(SUBSTITUTE(SUBSTITUTE(G76,"&lt;p&gt;",""),"&lt;/p&gt;",""),"&lt;ul&gt;",""),"&lt;/ul&gt;",""),"&lt;/strong&gt;",""))</f>
        <v/>
      </c>
      <c r="I76" s="12" cm="1" t="str">
        <f t="array" ref="I76">IF(C76="","",IF(OR(H76="",H76=0,H76=FALSE),"-",H76))</f>
        <v/>
      </c>
      <c r="J76" s="13">
</c>
      <c r="K76" s="9">
</c>
      <c r="L76" s="9" cm="1" t="str">
        <f t="array" ref="L76">IF(C76="","",IF(K76="Mort / Plus rien à faire","KO","OK"))</f>
        <v/>
      </c>
      <c r="M76" s="14">
</c>
      <c r="N76" s="14" cm="1" t="str">
        <f t="array" ref="N76">IF(OR(C76="",M76="",M76=0),"",M76)</f>
        <v/>
      </c>
      <c r="O76" s="14">
</c>
      <c r="P76" s="14" cm="1" t="str">
        <f t="array" ref="P76">IF(C76="","",IF(OR(O76="",O76=0),"-",O76))</f>
        <v/>
      </c>
      <c r="Q76" s="15">
</c>
      <c r="R76" s="9" cm="1" t="str">
        <f t="array" ref="R76">IF(C76="","",ROUND(Q76/1000000,3)&amp;" M€")</f>
        <v/>
      </c>
      <c r="S76" s="16">
</c>
      <c r="T76" s="9" cm="1" t="str">
        <f t="array" ref="T76">IF(C76="","",SUBSTITUTE(S76,"","")&amp;"%")</f>
        <v/>
      </c>
      <c r="U76" s="12" cm="1" t="str">
        <f t="array" ref="U76">IF(($N76="")*($P76=""),"",IF(($N76&lt;&gt;"")*($N76&gt;TODAY()-9)*($N76&lt;TODAY()+1)*($P76&lt;&gt;"")*($P76&gt;=TODAY())*($P76&lt;=TODAY()+13),"Semaine passée &amp; à venir",IF(($N76&lt;&gt;"")*($N76&gt;TODAY()-9)*($N76&lt;TODAY()+1),"Semaine passée",IF(($P76&lt;&gt;"")*($P76&gt;=TODAY())*($P76&lt;=TODAY()+13),"À venir","Autre"))))</f>
        <v/>
      </c>
      <c r="V76" cm="1" t="n">
        <f t="array" ref="V76">IF(C76&lt;&gt;"",1,0)</f>
        <v>0</v>
      </c>
    </row>
    <row r="77" ht="78.75" customHeight="1">
      <c r="A77" s="9">
</c>
      <c r="B77" s="9">
</c>
      <c r="C77" s="10">
</c>
      <c r="D77" s="11">
</c>
      <c r="E77" s="9">
</c>
      <c r="F77" s="13">
</c>
      <c r="G77" s="12" cm="1" t="str">
        <f t="array" ref="G77">IF(F77="","",SUBSTITUTE(SUBSTITUTE(SUBSTITUTE(SUBSTITUTE(F77,"&lt;li&gt;",CHAR(10)),"&lt;/li&gt;",""),"&lt;br&gt;",CHAR(10)),"&lt;strong&gt;",""))</f>
        <v/>
      </c>
      <c r="H77" s="12" cm="1" t="str">
        <f t="array" ref="H77">IF(G77="","",SUBSTITUTE(SUBSTITUTE(SUBSTITUTE(SUBSTITUTE(SUBSTITUTE(G77,"&lt;p&gt;",""),"&lt;/p&gt;",""),"&lt;ul&gt;",""),"&lt;/ul&gt;",""),"&lt;/strong&gt;",""))</f>
        <v/>
      </c>
      <c r="I77" s="12" cm="1" t="str">
        <f t="array" ref="I77">IF(C77="","",IF(OR(H77="",H77=0,H77=FALSE),"-",H77))</f>
        <v/>
      </c>
      <c r="J77" s="13">
</c>
      <c r="K77" s="9">
</c>
      <c r="L77" s="9" cm="1" t="str">
        <f t="array" ref="L77">IF(C77="","",IF(K77="Mort / Plus rien à faire","KO","OK"))</f>
        <v/>
      </c>
      <c r="M77" s="14">
</c>
      <c r="N77" s="14" cm="1" t="str">
        <f t="array" ref="N77">IF(OR(C77="",M77="",M77=0),"",M77)</f>
        <v/>
      </c>
      <c r="O77" s="14">
</c>
      <c r="P77" s="14" cm="1" t="str">
        <f t="array" ref="P77">IF(C77="","",IF(OR(O77="",O77=0),"-",O77))</f>
        <v/>
      </c>
      <c r="Q77" s="15">
</c>
      <c r="R77" s="9" cm="1" t="str">
        <f t="array" ref="R77">IF(C77="","",ROUND(Q77/1000000,3)&amp;" M€")</f>
        <v/>
      </c>
      <c r="S77" s="16">
</c>
      <c r="T77" s="9" cm="1" t="str">
        <f t="array" ref="T77">IF(C77="","",SUBSTITUTE(S77,"","")&amp;"%")</f>
        <v/>
      </c>
      <c r="U77" s="12" cm="1" t="str">
        <f t="array" ref="U77">IF(($N77="")*($P77=""),"",IF(($N77&lt;&gt;"")*($N77&gt;TODAY()-9)*($N77&lt;TODAY()+1)*($P77&lt;&gt;"")*($P77&gt;=TODAY())*($P77&lt;=TODAY()+13),"Semaine passée &amp; à venir",IF(($N77&lt;&gt;"")*($N77&gt;TODAY()-9)*($N77&lt;TODAY()+1),"Semaine passée",IF(($P77&lt;&gt;"")*($P77&gt;=TODAY())*($P77&lt;=TODAY()+13),"À venir","Autre"))))</f>
        <v/>
      </c>
      <c r="V77" cm="1" t="n">
        <f t="array" ref="V77">IF(C77&lt;&gt;"",1,0)</f>
        <v>0</v>
      </c>
    </row>
    <row r="78" ht="78.75" customHeight="1">
      <c r="A78" s="9">
</c>
      <c r="B78" s="9">
</c>
      <c r="C78" s="10">
</c>
      <c r="D78" s="11">
</c>
      <c r="E78" s="9">
</c>
      <c r="F78" s="13">
</c>
      <c r="G78" s="12" cm="1" t="str">
        <f t="array" ref="G78">IF(F78="","",SUBSTITUTE(SUBSTITUTE(SUBSTITUTE(SUBSTITUTE(F78,"&lt;li&gt;",CHAR(10)),"&lt;/li&gt;",""),"&lt;br&gt;",CHAR(10)),"&lt;strong&gt;",""))</f>
        <v/>
      </c>
      <c r="H78" s="12" cm="1" t="str">
        <f t="array" ref="H78">IF(G78="","",SUBSTITUTE(SUBSTITUTE(SUBSTITUTE(SUBSTITUTE(SUBSTITUTE(G78,"&lt;p&gt;",""),"&lt;/p&gt;",""),"&lt;ul&gt;",""),"&lt;/ul&gt;",""),"&lt;/strong&gt;",""))</f>
        <v/>
      </c>
      <c r="I78" s="12" cm="1" t="str">
        <f t="array" ref="I78">IF(C78="","",IF(OR(H78="",H78=0,H78=FALSE),"-",H78))</f>
        <v/>
      </c>
      <c r="J78" s="13">
</c>
      <c r="K78" s="9">
</c>
      <c r="L78" s="9" cm="1" t="str">
        <f t="array" ref="L78">IF(C78="","",IF(K78="Mort / Plus rien à faire","KO","OK"))</f>
        <v/>
      </c>
      <c r="M78" s="14">
</c>
      <c r="N78" s="14" cm="1" t="str">
        <f t="array" ref="N78">IF(OR(C78="",M78="",M78=0),"",M78)</f>
        <v/>
      </c>
      <c r="O78" s="14">
</c>
      <c r="P78" s="14" cm="1" t="str">
        <f t="array" ref="P78">IF(C78="","",IF(OR(O78="",O78=0),"-",O78))</f>
        <v/>
      </c>
      <c r="Q78" s="15">
</c>
      <c r="R78" s="9" cm="1" t="str">
        <f t="array" ref="R78">IF(C78="","",ROUND(Q78/1000000,3)&amp;" M€")</f>
        <v/>
      </c>
      <c r="S78" s="16">
</c>
      <c r="T78" s="9" cm="1" t="str">
        <f t="array" ref="T78">IF(C78="","",SUBSTITUTE(S78,"","")&amp;"%")</f>
        <v/>
      </c>
      <c r="U78" s="12" cm="1" t="str">
        <f t="array" ref="U78">IF(($N78="")*($P78=""),"",IF(($N78&lt;&gt;"")*($N78&gt;TODAY()-9)*($N78&lt;TODAY()+1)*($P78&lt;&gt;"")*($P78&gt;=TODAY())*($P78&lt;=TODAY()+13),"Semaine passée &amp; à venir",IF(($N78&lt;&gt;"")*($N78&gt;TODAY()-9)*($N78&lt;TODAY()+1),"Semaine passée",IF(($P78&lt;&gt;"")*($P78&gt;=TODAY())*($P78&lt;=TODAY()+13),"À venir","Autre"))))</f>
        <v/>
      </c>
      <c r="V78" cm="1" t="n">
        <f t="array" ref="V78">IF(C78&lt;&gt;"",1,0)</f>
        <v>0</v>
      </c>
    </row>
    <row r="79" ht="78.75" customHeight="1">
      <c r="A79" s="9">
</c>
      <c r="B79" s="9">
</c>
      <c r="C79" s="10">
</c>
      <c r="D79" s="11">
</c>
      <c r="E79" s="9">
</c>
      <c r="F79" s="13">
</c>
      <c r="G79" s="12" cm="1" t="str">
        <f t="array" ref="G79">IF(F79="","",SUBSTITUTE(SUBSTITUTE(SUBSTITUTE(SUBSTITUTE(F79,"&lt;li&gt;",CHAR(10)),"&lt;/li&gt;",""),"&lt;br&gt;",CHAR(10)),"&lt;strong&gt;",""))</f>
        <v/>
      </c>
      <c r="H79" s="12" cm="1" t="str">
        <f t="array" ref="H79">IF(G79="","",SUBSTITUTE(SUBSTITUTE(SUBSTITUTE(SUBSTITUTE(SUBSTITUTE(G79,"&lt;p&gt;",""),"&lt;/p&gt;",""),"&lt;ul&gt;",""),"&lt;/ul&gt;",""),"&lt;/strong&gt;",""))</f>
        <v/>
      </c>
      <c r="I79" s="12" cm="1" t="str">
        <f t="array" ref="I79">IF(C79="","",IF(OR(H79="",H79=0,H79=FALSE),"-",H79))</f>
        <v/>
      </c>
      <c r="J79" s="13">
</c>
      <c r="K79" s="9">
</c>
      <c r="L79" s="9" cm="1" t="str">
        <f t="array" ref="L79">IF(C79="","",IF(K79="Mort / Plus rien à faire","KO","OK"))</f>
        <v/>
      </c>
      <c r="M79" s="14">
</c>
      <c r="N79" s="14" cm="1" t="str">
        <f t="array" ref="N79">IF(OR(C79="",M79="",M79=0),"",M79)</f>
        <v/>
      </c>
      <c r="O79" s="14">
</c>
      <c r="P79" s="14" cm="1" t="str">
        <f t="array" ref="P79">IF(C79="","",IF(OR(O79="",O79=0),"-",O79))</f>
        <v/>
      </c>
      <c r="Q79" s="15">
</c>
      <c r="R79" s="9" cm="1" t="str">
        <f t="array" ref="R79">IF(C79="","",ROUND(Q79/1000000,3)&amp;" M€")</f>
        <v/>
      </c>
      <c r="S79" s="16">
</c>
      <c r="T79" s="9" cm="1" t="str">
        <f t="array" ref="T79">IF(C79="","",SUBSTITUTE(S79,"","")&amp;"%")</f>
        <v/>
      </c>
      <c r="U79" s="12" cm="1" t="str">
        <f t="array" ref="U79">IF(($N79="")*($P79=""),"",IF(($N79&lt;&gt;"")*($N79&gt;TODAY()-9)*($N79&lt;TODAY()+1)*($P79&lt;&gt;"")*($P79&gt;=TODAY())*($P79&lt;=TODAY()+13),"Semaine passée &amp; à venir",IF(($N79&lt;&gt;"")*($N79&gt;TODAY()-9)*($N79&lt;TODAY()+1),"Semaine passée",IF(($P79&lt;&gt;"")*($P79&gt;=TODAY())*($P79&lt;=TODAY()+13),"À venir","Autre"))))</f>
        <v/>
      </c>
      <c r="V79" cm="1" t="n">
        <f t="array" ref="V79">IF(C79&lt;&gt;"",1,0)</f>
        <v>0</v>
      </c>
    </row>
    <row r="80" ht="78.75" customHeight="1">
      <c r="A80" s="9">
</c>
      <c r="B80" s="9">
</c>
      <c r="C80" s="10">
</c>
      <c r="D80" s="11">
</c>
      <c r="E80" s="9">
</c>
      <c r="F80" s="13">
</c>
      <c r="G80" s="12" cm="1" t="str">
        <f t="array" ref="G80">IF(F80="","",SUBSTITUTE(SUBSTITUTE(SUBSTITUTE(SUBSTITUTE(F80,"&lt;li&gt;",CHAR(10)),"&lt;/li&gt;",""),"&lt;br&gt;",CHAR(10)),"&lt;strong&gt;",""))</f>
        <v/>
      </c>
      <c r="H80" s="12" cm="1" t="str">
        <f t="array" ref="H80">IF(G80="","",SUBSTITUTE(SUBSTITUTE(SUBSTITUTE(SUBSTITUTE(SUBSTITUTE(G80,"&lt;p&gt;",""),"&lt;/p&gt;",""),"&lt;ul&gt;",""),"&lt;/ul&gt;",""),"&lt;/strong&gt;",""))</f>
        <v/>
      </c>
      <c r="I80" s="12" cm="1" t="str">
        <f t="array" ref="I80">IF(C80="","",IF(OR(H80="",H80=0,H80=FALSE),"-",H80))</f>
        <v/>
      </c>
      <c r="J80" s="13">
</c>
      <c r="K80" s="9">
</c>
      <c r="L80" s="9" cm="1" t="str">
        <f t="array" ref="L80">IF(C80="","",IF(K80="Mort / Plus rien à faire","KO","OK"))</f>
        <v/>
      </c>
      <c r="M80" s="14">
</c>
      <c r="N80" s="14" cm="1" t="str">
        <f t="array" ref="N80">IF(OR(C80="",M80="",M80=0),"",M80)</f>
        <v/>
      </c>
      <c r="O80" s="14">
</c>
      <c r="P80" s="14" cm="1" t="str">
        <f t="array" ref="P80">IF(C80="","",IF(OR(O80="",O80=0),"-",O80))</f>
        <v/>
      </c>
      <c r="Q80" s="15">
</c>
      <c r="R80" s="9" cm="1" t="str">
        <f t="array" ref="R80">IF(C80="","",ROUND(Q80/1000000,3)&amp;" M€")</f>
        <v/>
      </c>
      <c r="S80" s="16">
</c>
      <c r="T80" s="9" cm="1" t="str">
        <f t="array" ref="T80">IF(C80="","",SUBSTITUTE(S80,"","")&amp;"%")</f>
        <v/>
      </c>
      <c r="U80" s="12" cm="1" t="str">
        <f t="array" ref="U80">IF(($N80="")*($P80=""),"",IF(($N80&lt;&gt;"")*($N80&gt;TODAY()-9)*($N80&lt;TODAY()+1)*($P80&lt;&gt;"")*($P80&gt;=TODAY())*($P80&lt;=TODAY()+13),"Semaine passée &amp; à venir",IF(($N80&lt;&gt;"")*($N80&gt;TODAY()-9)*($N80&lt;TODAY()+1),"Semaine passée",IF(($P80&lt;&gt;"")*($P80&gt;=TODAY())*($P80&lt;=TODAY()+13),"À venir","Autre"))))</f>
        <v/>
      </c>
      <c r="V80" cm="1" t="n">
        <f t="array" ref="V80">IF(C80&lt;&gt;"",1,0)</f>
        <v>0</v>
      </c>
    </row>
    <row r="81" ht="78.75" customHeight="1">
      <c r="A81" s="9">
</c>
      <c r="B81" s="9">
</c>
      <c r="C81" s="10">
</c>
      <c r="D81" s="11">
</c>
      <c r="E81" s="9">
</c>
      <c r="F81" s="13">
</c>
      <c r="G81" s="12" cm="1" t="str">
        <f t="array" ref="G81">IF(F81="","",SUBSTITUTE(SUBSTITUTE(SUBSTITUTE(SUBSTITUTE(F81,"&lt;li&gt;",CHAR(10)),"&lt;/li&gt;",""),"&lt;br&gt;",CHAR(10)),"&lt;strong&gt;",""))</f>
        <v/>
      </c>
      <c r="H81" s="12" cm="1" t="str">
        <f t="array" ref="H81">IF(G81="","",SUBSTITUTE(SUBSTITUTE(SUBSTITUTE(SUBSTITUTE(SUBSTITUTE(G81,"&lt;p&gt;",""),"&lt;/p&gt;",""),"&lt;ul&gt;",""),"&lt;/ul&gt;",""),"&lt;/strong&gt;",""))</f>
        <v/>
      </c>
      <c r="I81" s="12" cm="1" t="str">
        <f t="array" ref="I81">IF(C81="","",IF(OR(H81="",H81=0,H81=FALSE),"-",H81))</f>
        <v/>
      </c>
      <c r="J81" s="13">
</c>
      <c r="K81" s="9">
</c>
      <c r="L81" s="9" cm="1" t="str">
        <f t="array" ref="L81">IF(C81="","",IF(K81="Mort / Plus rien à faire","KO","OK"))</f>
        <v/>
      </c>
      <c r="M81" s="14">
</c>
      <c r="N81" s="14" cm="1" t="str">
        <f t="array" ref="N81">IF(OR(C81="",M81="",M81=0),"",M81)</f>
        <v/>
      </c>
      <c r="O81" s="14">
</c>
      <c r="P81" s="14" cm="1" t="str">
        <f t="array" ref="P81">IF(C81="","",IF(OR(O81="",O81=0),"-",O81))</f>
        <v/>
      </c>
      <c r="Q81" s="15">
</c>
      <c r="R81" s="9" cm="1" t="str">
        <f t="array" ref="R81">IF(C81="","",ROUND(Q81/1000000,3)&amp;" M€")</f>
        <v/>
      </c>
      <c r="S81" s="16">
</c>
      <c r="T81" s="9" cm="1" t="str">
        <f t="array" ref="T81">IF(C81="","",SUBSTITUTE(S81,"","")&amp;"%")</f>
        <v/>
      </c>
      <c r="U81" s="12" cm="1" t="str">
        <f t="array" ref="U81">IF(($N81="")*($P81=""),"",IF(($N81&lt;&gt;"")*($N81&gt;TODAY()-9)*($N81&lt;TODAY()+1)*($P81&lt;&gt;"")*($P81&gt;=TODAY())*($P81&lt;=TODAY()+13),"Semaine passée &amp; à venir",IF(($N81&lt;&gt;"")*($N81&gt;TODAY()-9)*($N81&lt;TODAY()+1),"Semaine passée",IF(($P81&lt;&gt;"")*($P81&gt;=TODAY())*($P81&lt;=TODAY()+13),"À venir","Autre"))))</f>
        <v/>
      </c>
      <c r="V81" cm="1" t="n">
        <f t="array" ref="V81">IF(C81&lt;&gt;"",1,0)</f>
        <v>0</v>
      </c>
    </row>
    <row r="82" ht="78.75" customHeight="1">
      <c r="A82" s="9">
</c>
      <c r="B82" s="9">
</c>
      <c r="C82" s="10">
</c>
      <c r="D82" s="11">
</c>
      <c r="E82" s="9">
</c>
      <c r="F82" s="13">
</c>
      <c r="G82" s="12" cm="1" t="str">
        <f t="array" ref="G82">IF(F82="","",SUBSTITUTE(SUBSTITUTE(SUBSTITUTE(SUBSTITUTE(F82,"&lt;li&gt;",CHAR(10)),"&lt;/li&gt;",""),"&lt;br&gt;",CHAR(10)),"&lt;strong&gt;",""))</f>
        <v/>
      </c>
      <c r="H82" s="12" cm="1" t="str">
        <f t="array" ref="H82">IF(G82="","",SUBSTITUTE(SUBSTITUTE(SUBSTITUTE(SUBSTITUTE(SUBSTITUTE(G82,"&lt;p&gt;",""),"&lt;/p&gt;",""),"&lt;ul&gt;",""),"&lt;/ul&gt;",""),"&lt;/strong&gt;",""))</f>
        <v/>
      </c>
      <c r="I82" s="12" cm="1" t="str">
        <f t="array" ref="I82">IF(C82="","",IF(OR(H82="",H82=0,H82=FALSE),"-",H82))</f>
        <v/>
      </c>
      <c r="J82" s="13">
</c>
      <c r="K82" s="9">
</c>
      <c r="L82" s="9" cm="1" t="str">
        <f t="array" ref="L82">IF(C82="","",IF(K82="Mort / Plus rien à faire","KO","OK"))</f>
        <v/>
      </c>
      <c r="M82" s="14">
</c>
      <c r="N82" s="14" cm="1" t="str">
        <f t="array" ref="N82">IF(OR(C82="",M82="",M82=0),"",M82)</f>
        <v/>
      </c>
      <c r="O82" s="14">
</c>
      <c r="P82" s="14" cm="1" t="str">
        <f t="array" ref="P82">IF(C82="","",IF(OR(O82="",O82=0),"-",O82))</f>
        <v/>
      </c>
      <c r="Q82" s="15">
</c>
      <c r="R82" s="9" cm="1" t="str">
        <f t="array" ref="R82">IF(C82="","",ROUND(Q82/1000000,3)&amp;" M€")</f>
        <v/>
      </c>
      <c r="S82" s="16">
</c>
      <c r="T82" s="9" cm="1" t="str">
        <f t="array" ref="T82">IF(C82="","",SUBSTITUTE(S82,"","")&amp;"%")</f>
        <v/>
      </c>
      <c r="U82" s="12" cm="1" t="str">
        <f t="array" ref="U82">IF(($N82="")*($P82=""),"",IF(($N82&lt;&gt;"")*($N82&gt;TODAY()-9)*($N82&lt;TODAY()+1)*($P82&lt;&gt;"")*($P82&gt;=TODAY())*($P82&lt;=TODAY()+13),"Semaine passée &amp; à venir",IF(($N82&lt;&gt;"")*($N82&gt;TODAY()-9)*($N82&lt;TODAY()+1),"Semaine passée",IF(($P82&lt;&gt;"")*($P82&gt;=TODAY())*($P82&lt;=TODAY()+13),"À venir","Autre"))))</f>
        <v/>
      </c>
      <c r="V82" cm="1" t="n">
        <f t="array" ref="V82">IF(C82&lt;&gt;"",1,0)</f>
        <v>0</v>
      </c>
    </row>
    <row r="83" ht="78.75" customHeight="1">
      <c r="A83" s="9">
</c>
      <c r="B83" s="9">
</c>
      <c r="C83" s="10">
</c>
      <c r="D83" s="11">
</c>
      <c r="E83" s="9">
</c>
      <c r="F83" s="13">
</c>
      <c r="G83" s="12" cm="1" t="str">
        <f t="array" ref="G83">IF(F83="","",SUBSTITUTE(SUBSTITUTE(SUBSTITUTE(SUBSTITUTE(F83,"&lt;li&gt;",CHAR(10)),"&lt;/li&gt;",""),"&lt;br&gt;",CHAR(10)),"&lt;strong&gt;",""))</f>
        <v/>
      </c>
      <c r="H83" s="12" cm="1" t="str">
        <f t="array" ref="H83">IF(G83="","",SUBSTITUTE(SUBSTITUTE(SUBSTITUTE(SUBSTITUTE(SUBSTITUTE(G83,"&lt;p&gt;",""),"&lt;/p&gt;",""),"&lt;ul&gt;",""),"&lt;/ul&gt;",""),"&lt;/strong&gt;",""))</f>
        <v/>
      </c>
      <c r="I83" s="12" cm="1" t="str">
        <f t="array" ref="I83">IF(C83="","",IF(OR(H83="",H83=0,H83=FALSE),"-",H83))</f>
        <v/>
      </c>
      <c r="J83" s="13">
</c>
      <c r="K83" s="9">
</c>
      <c r="L83" s="9" cm="1" t="str">
        <f t="array" ref="L83">IF(C83="","",IF(K83="Mort / Plus rien à faire","KO","OK"))</f>
        <v/>
      </c>
      <c r="M83" s="14">
</c>
      <c r="N83" s="14" cm="1" t="str">
        <f t="array" ref="N83">IF(OR(C83="",M83="",M83=0),"",M83)</f>
        <v/>
      </c>
      <c r="O83" s="14">
</c>
      <c r="P83" s="14" cm="1" t="str">
        <f t="array" ref="P83">IF(C83="","",IF(OR(O83="",O83=0),"-",O83))</f>
        <v/>
      </c>
      <c r="Q83" s="15">
</c>
      <c r="R83" s="9" cm="1" t="str">
        <f t="array" ref="R83">IF(C83="","",ROUND(Q83/1000000,3)&amp;" M€")</f>
        <v/>
      </c>
      <c r="S83" s="16">
</c>
      <c r="T83" s="9" cm="1" t="str">
        <f t="array" ref="T83">IF(C83="","",SUBSTITUTE(S83,"","")&amp;"%")</f>
        <v/>
      </c>
      <c r="U83" s="12" cm="1" t="str">
        <f t="array" ref="U83">IF(($N83="")*($P83=""),"",IF(($N83&lt;&gt;"")*($N83&gt;TODAY()-9)*($N83&lt;TODAY()+1)*($P83&lt;&gt;"")*($P83&gt;=TODAY())*($P83&lt;=TODAY()+13),"Semaine passée &amp; à venir",IF(($N83&lt;&gt;"")*($N83&gt;TODAY()-9)*($N83&lt;TODAY()+1),"Semaine passée",IF(($P83&lt;&gt;"")*($P83&gt;=TODAY())*($P83&lt;=TODAY()+13),"À venir","Autre"))))</f>
        <v/>
      </c>
      <c r="V83" cm="1" t="n">
        <f t="array" ref="V83">IF(C83&lt;&gt;"",1,0)</f>
        <v>0</v>
      </c>
    </row>
    <row r="84" ht="78.75" customHeight="1">
      <c r="A84" s="9">
</c>
      <c r="B84" s="9">
</c>
      <c r="C84" s="10">
</c>
      <c r="D84" s="11">
</c>
      <c r="E84" s="9">
</c>
      <c r="F84" s="13">
</c>
      <c r="G84" s="12" cm="1" t="str">
        <f t="array" ref="G84">IF(F84="","",SUBSTITUTE(SUBSTITUTE(SUBSTITUTE(SUBSTITUTE(F84,"&lt;li&gt;",CHAR(10)),"&lt;/li&gt;",""),"&lt;br&gt;",CHAR(10)),"&lt;strong&gt;",""))</f>
        <v/>
      </c>
      <c r="H84" s="12" cm="1" t="str">
        <f t="array" ref="H84">IF(G84="","",SUBSTITUTE(SUBSTITUTE(SUBSTITUTE(SUBSTITUTE(SUBSTITUTE(G84,"&lt;p&gt;",""),"&lt;/p&gt;",""),"&lt;ul&gt;",""),"&lt;/ul&gt;",""),"&lt;/strong&gt;",""))</f>
        <v/>
      </c>
      <c r="I84" s="12" cm="1" t="str">
        <f t="array" ref="I84">IF(C84="","",IF(OR(H84="",H84=0,H84=FALSE),"-",H84))</f>
        <v/>
      </c>
      <c r="J84" s="13">
</c>
      <c r="K84" s="9">
</c>
      <c r="L84" s="9" cm="1" t="str">
        <f t="array" ref="L84">IF(C84="","",IF(K84="Mort / Plus rien à faire","KO","OK"))</f>
        <v/>
      </c>
      <c r="M84" s="14">
</c>
      <c r="N84" s="14" cm="1" t="str">
        <f t="array" ref="N84">IF(OR(C84="",M84="",M84=0),"",M84)</f>
        <v/>
      </c>
      <c r="O84" s="14">
</c>
      <c r="P84" s="14" cm="1" t="str">
        <f t="array" ref="P84">IF(C84="","",IF(OR(O84="",O84=0),"-",O84))</f>
        <v/>
      </c>
      <c r="Q84" s="15">
</c>
      <c r="R84" s="9" cm="1" t="str">
        <f t="array" ref="R84">IF(C84="","",ROUND(Q84/1000000,3)&amp;" M€")</f>
        <v/>
      </c>
      <c r="S84" s="16">
</c>
      <c r="T84" s="9" cm="1" t="str">
        <f t="array" ref="T84">IF(C84="","",SUBSTITUTE(S84,"","")&amp;"%")</f>
        <v/>
      </c>
      <c r="U84" s="12" cm="1" t="str">
        <f t="array" ref="U84">IF(($N84="")*($P84=""),"",IF(($N84&lt;&gt;"")*($N84&gt;TODAY()-9)*($N84&lt;TODAY()+1)*($P84&lt;&gt;"")*($P84&gt;=TODAY())*($P84&lt;=TODAY()+13),"Semaine passée &amp; à venir",IF(($N84&lt;&gt;"")*($N84&gt;TODAY()-9)*($N84&lt;TODAY()+1),"Semaine passée",IF(($P84&lt;&gt;"")*($P84&gt;=TODAY())*($P84&lt;=TODAY()+13),"À venir","Autre"))))</f>
        <v/>
      </c>
      <c r="V84" cm="1" t="n">
        <f t="array" ref="V84">IF(C84&lt;&gt;"",1,0)</f>
        <v>0</v>
      </c>
    </row>
    <row r="85" ht="78.75" customHeight="1">
      <c r="A85" s="9">
</c>
      <c r="B85" s="9">
</c>
      <c r="C85" s="10">
</c>
      <c r="D85" s="11">
</c>
      <c r="E85" s="9">
</c>
      <c r="F85" s="13">
</c>
      <c r="G85" s="12" cm="1" t="str">
        <f t="array" ref="G85">IF(F85="","",SUBSTITUTE(SUBSTITUTE(SUBSTITUTE(SUBSTITUTE(F85,"&lt;li&gt;",CHAR(10)),"&lt;/li&gt;",""),"&lt;br&gt;",CHAR(10)),"&lt;strong&gt;",""))</f>
        <v/>
      </c>
      <c r="H85" s="12" cm="1" t="str">
        <f t="array" ref="H85">IF(G85="","",SUBSTITUTE(SUBSTITUTE(SUBSTITUTE(SUBSTITUTE(SUBSTITUTE(G85,"&lt;p&gt;",""),"&lt;/p&gt;",""),"&lt;ul&gt;",""),"&lt;/ul&gt;",""),"&lt;/strong&gt;",""))</f>
        <v/>
      </c>
      <c r="I85" s="12" cm="1" t="str">
        <f t="array" ref="I85">IF(C85="","",IF(OR(H85="",H85=0,H85=FALSE),"-",H85))</f>
        <v/>
      </c>
      <c r="J85" s="13">
</c>
      <c r="K85" s="9">
</c>
      <c r="L85" s="9" cm="1" t="str">
        <f t="array" ref="L85">IF(C85="","",IF(K85="Mort / Plus rien à faire","KO","OK"))</f>
        <v/>
      </c>
      <c r="M85" s="14">
</c>
      <c r="N85" s="14" cm="1" t="str">
        <f t="array" ref="N85">IF(OR(C85="",M85="",M85=0),"",M85)</f>
        <v/>
      </c>
      <c r="O85" s="14">
</c>
      <c r="P85" s="14" cm="1" t="str">
        <f t="array" ref="P85">IF(C85="","",IF(OR(O85="",O85=0),"-",O85))</f>
        <v/>
      </c>
      <c r="Q85" s="15">
</c>
      <c r="R85" s="9" cm="1" t="str">
        <f t="array" ref="R85">IF(C85="","",ROUND(Q85/1000000,3)&amp;" M€")</f>
        <v/>
      </c>
      <c r="S85" s="16">
</c>
      <c r="T85" s="9" cm="1" t="str">
        <f t="array" ref="T85">IF(C85="","",SUBSTITUTE(S85,"","")&amp;"%")</f>
        <v/>
      </c>
      <c r="U85" s="12" cm="1" t="str">
        <f t="array" ref="U85">IF(($N85="")*($P85=""),"",IF(($N85&lt;&gt;"")*($N85&gt;TODAY()-9)*($N85&lt;TODAY()+1)*($P85&lt;&gt;"")*($P85&gt;=TODAY())*($P85&lt;=TODAY()+13),"Semaine passée &amp; à venir",IF(($N85&lt;&gt;"")*($N85&gt;TODAY()-9)*($N85&lt;TODAY()+1),"Semaine passée",IF(($P85&lt;&gt;"")*($P85&gt;=TODAY())*($P85&lt;=TODAY()+13),"À venir","Autre"))))</f>
        <v/>
      </c>
      <c r="V85" cm="1" t="n">
        <f t="array" ref="V85">IF(C85&lt;&gt;"",1,0)</f>
        <v>0</v>
      </c>
    </row>
    <row r="86" ht="78.75" customHeight="1">
      <c r="A86" s="9">
</c>
      <c r="B86" s="9">
</c>
      <c r="C86" s="10">
</c>
      <c r="D86" s="11">
</c>
      <c r="E86" s="9">
</c>
      <c r="F86" s="13">
</c>
      <c r="G86" s="12" cm="1" t="str">
        <f t="array" ref="G86">IF(F86="","",SUBSTITUTE(SUBSTITUTE(SUBSTITUTE(SUBSTITUTE(F86,"&lt;li&gt;",CHAR(10)),"&lt;/li&gt;",""),"&lt;br&gt;",CHAR(10)),"&lt;strong&gt;",""))</f>
        <v/>
      </c>
      <c r="H86" s="12" cm="1" t="str">
        <f t="array" ref="H86">IF(G86="","",SUBSTITUTE(SUBSTITUTE(SUBSTITUTE(SUBSTITUTE(SUBSTITUTE(G86,"&lt;p&gt;",""),"&lt;/p&gt;",""),"&lt;ul&gt;",""),"&lt;/ul&gt;",""),"&lt;/strong&gt;",""))</f>
        <v/>
      </c>
      <c r="I86" s="12" cm="1" t="str">
        <f t="array" ref="I86">IF(C86="","",IF(OR(H86="",H86=0,H86=FALSE),"-",H86))</f>
        <v/>
      </c>
      <c r="J86" s="13">
</c>
      <c r="K86" s="9">
</c>
      <c r="L86" s="9" cm="1" t="str">
        <f t="array" ref="L86">IF(C86="","",IF(K86="Mort / Plus rien à faire","KO","OK"))</f>
        <v/>
      </c>
      <c r="M86" s="14">
</c>
      <c r="N86" s="14" cm="1" t="str">
        <f t="array" ref="N86">IF(OR(C86="",M86="",M86=0),"",M86)</f>
        <v/>
      </c>
      <c r="O86" s="14">
</c>
      <c r="P86" s="14" cm="1" t="str">
        <f t="array" ref="P86">IF(C86="","",IF(OR(O86="",O86=0),"-",O86))</f>
        <v/>
      </c>
      <c r="Q86" s="15">
</c>
      <c r="R86" s="9" cm="1" t="str">
        <f t="array" ref="R86">IF(C86="","",ROUND(Q86/1000000,3)&amp;" M€")</f>
        <v/>
      </c>
      <c r="S86" s="16">
</c>
      <c r="T86" s="9" cm="1" t="str">
        <f t="array" ref="T86">IF(C86="","",SUBSTITUTE(S86,"","")&amp;"%")</f>
        <v/>
      </c>
      <c r="U86" s="12" cm="1" t="str">
        <f t="array" ref="U86">IF(($N86="")*($P86=""),"",IF(($N86&lt;&gt;"")*($N86&gt;TODAY()-9)*($N86&lt;TODAY()+1)*($P86&lt;&gt;"")*($P86&gt;=TODAY())*($P86&lt;=TODAY()+13),"Semaine passée &amp; à venir",IF(($N86&lt;&gt;"")*($N86&gt;TODAY()-9)*($N86&lt;TODAY()+1),"Semaine passée",IF(($P86&lt;&gt;"")*($P86&gt;=TODAY())*($P86&lt;=TODAY()+13),"À venir","Autre"))))</f>
        <v/>
      </c>
      <c r="V86" cm="1" t="n">
        <f t="array" ref="V86">IF(C86&lt;&gt;"",1,0)</f>
        <v>0</v>
      </c>
    </row>
    <row r="87" ht="78.75" customHeight="1">
      <c r="A87" s="9">
</c>
      <c r="B87" s="9">
</c>
      <c r="C87" s="10">
</c>
      <c r="D87" s="11">
</c>
      <c r="E87" s="9">
</c>
      <c r="F87" s="13">
</c>
      <c r="G87" s="12" cm="1" t="str">
        <f t="array" ref="G87">IF(F87="","",SUBSTITUTE(SUBSTITUTE(SUBSTITUTE(SUBSTITUTE(F87,"&lt;li&gt;",CHAR(10)),"&lt;/li&gt;",""),"&lt;br&gt;",CHAR(10)),"&lt;strong&gt;",""))</f>
        <v/>
      </c>
      <c r="H87" s="12" cm="1" t="str">
        <f t="array" ref="H87">IF(G87="","",SUBSTITUTE(SUBSTITUTE(SUBSTITUTE(SUBSTITUTE(SUBSTITUTE(G87,"&lt;p&gt;",""),"&lt;/p&gt;",""),"&lt;ul&gt;",""),"&lt;/ul&gt;",""),"&lt;/strong&gt;",""))</f>
        <v/>
      </c>
      <c r="I87" s="12" cm="1" t="str">
        <f t="array" ref="I87">IF(C87="","",IF(OR(H87="",H87=0,H87=FALSE),"-",H87))</f>
        <v/>
      </c>
      <c r="J87" s="13">
</c>
      <c r="K87" s="9">
</c>
      <c r="L87" s="9" cm="1" t="str">
        <f t="array" ref="L87">IF(C87="","",IF(K87="Mort / Plus rien à faire","KO","OK"))</f>
        <v/>
      </c>
      <c r="M87" s="14">
</c>
      <c r="N87" s="14" cm="1" t="str">
        <f t="array" ref="N87">IF(OR(C87="",M87="",M87=0),"",M87)</f>
        <v/>
      </c>
      <c r="O87" s="14">
</c>
      <c r="P87" s="14" cm="1" t="str">
        <f t="array" ref="P87">IF(C87="","",IF(OR(O87="",O87=0),"-",O87))</f>
        <v/>
      </c>
      <c r="Q87" s="15">
</c>
      <c r="R87" s="9" cm="1" t="str">
        <f t="array" ref="R87">IF(C87="","",ROUND(Q87/1000000,3)&amp;" M€")</f>
        <v/>
      </c>
      <c r="S87" s="16">
</c>
      <c r="T87" s="9" cm="1" t="str">
        <f t="array" ref="T87">IF(C87="","",SUBSTITUTE(S87,"","")&amp;"%")</f>
        <v/>
      </c>
      <c r="U87" s="12" cm="1" t="str">
        <f t="array" ref="U87">IF(($N87="")*($P87=""),"",IF(($N87&lt;&gt;"")*($N87&gt;TODAY()-9)*($N87&lt;TODAY()+1)*($P87&lt;&gt;"")*($P87&gt;=TODAY())*($P87&lt;=TODAY()+13),"Semaine passée &amp; à venir",IF(($N87&lt;&gt;"")*($N87&gt;TODAY()-9)*($N87&lt;TODAY()+1),"Semaine passée",IF(($P87&lt;&gt;"")*($P87&gt;=TODAY())*($P87&lt;=TODAY()+13),"À venir","Autre"))))</f>
        <v/>
      </c>
      <c r="V87" cm="1" t="n">
        <f t="array" ref="V87">IF(C87&lt;&gt;"",1,0)</f>
        <v>0</v>
      </c>
    </row>
    <row r="88" ht="78.75" customHeight="1">
      <c r="A88" s="9">
</c>
      <c r="B88" s="9">
</c>
      <c r="C88" s="10">
</c>
      <c r="D88" s="11">
</c>
      <c r="E88" s="9">
</c>
      <c r="F88" s="13">
</c>
      <c r="G88" s="12" cm="1" t="str">
        <f t="array" ref="G88">IF(F88="","",SUBSTITUTE(SUBSTITUTE(SUBSTITUTE(SUBSTITUTE(F88,"&lt;li&gt;",CHAR(10)),"&lt;/li&gt;",""),"&lt;br&gt;",CHAR(10)),"&lt;strong&gt;",""))</f>
        <v/>
      </c>
      <c r="H88" s="12" cm="1" t="str">
        <f t="array" ref="H88">IF(G88="","",SUBSTITUTE(SUBSTITUTE(SUBSTITUTE(SUBSTITUTE(SUBSTITUTE(G88,"&lt;p&gt;",""),"&lt;/p&gt;",""),"&lt;ul&gt;",""),"&lt;/ul&gt;",""),"&lt;/strong&gt;",""))</f>
        <v/>
      </c>
      <c r="I88" s="12" cm="1" t="str">
        <f t="array" ref="I88">IF(C88="","",IF(OR(H88="",H88=0,H88=FALSE),"-",H88))</f>
        <v/>
      </c>
      <c r="J88" s="13">
</c>
      <c r="K88" s="9">
</c>
      <c r="L88" s="9" cm="1" t="str">
        <f t="array" ref="L88">IF(C88="","",IF(K88="Mort / Plus rien à faire","KO","OK"))</f>
        <v/>
      </c>
      <c r="M88" s="14">
</c>
      <c r="N88" s="14" cm="1" t="str">
        <f t="array" ref="N88">IF(OR(C88="",M88="",M88=0),"",M88)</f>
        <v/>
      </c>
      <c r="O88" s="14">
</c>
      <c r="P88" s="14" cm="1" t="str">
        <f t="array" ref="P88">IF(C88="","",IF(OR(O88="",O88=0),"-",O88))</f>
        <v/>
      </c>
      <c r="Q88" s="15">
</c>
      <c r="R88" s="9" cm="1" t="str">
        <f t="array" ref="R88">IF(C88="","",ROUND(Q88/1000000,3)&amp;" M€")</f>
        <v/>
      </c>
      <c r="S88" s="16">
</c>
      <c r="T88" s="9" cm="1" t="str">
        <f t="array" ref="T88">IF(C88="","",SUBSTITUTE(S88,"","")&amp;"%")</f>
        <v/>
      </c>
      <c r="U88" s="12" cm="1" t="str">
        <f t="array" ref="U88">IF(($N88="")*($P88=""),"",IF(($N88&lt;&gt;"")*($N88&gt;TODAY()-9)*($N88&lt;TODAY()+1)*($P88&lt;&gt;"")*($P88&gt;=TODAY())*($P88&lt;=TODAY()+13),"Semaine passée &amp; à venir",IF(($N88&lt;&gt;"")*($N88&gt;TODAY()-9)*($N88&lt;TODAY()+1),"Semaine passée",IF(($P88&lt;&gt;"")*($P88&gt;=TODAY())*($P88&lt;=TODAY()+13),"À venir","Autre"))))</f>
        <v/>
      </c>
      <c r="V88" cm="1" t="n">
        <f t="array" ref="V88">IF(C88&lt;&gt;"",1,0)</f>
        <v>0</v>
      </c>
    </row>
    <row r="89" ht="78.75" customHeight="1">
      <c r="A89" s="9">
</c>
      <c r="B89" s="9">
</c>
      <c r="C89" s="10">
</c>
      <c r="D89" s="11">
</c>
      <c r="E89" s="9">
</c>
      <c r="F89" s="13">
</c>
      <c r="G89" s="12" cm="1" t="str">
        <f t="array" ref="G89">IF(F89="","",SUBSTITUTE(SUBSTITUTE(SUBSTITUTE(SUBSTITUTE(F89,"&lt;li&gt;",CHAR(10)),"&lt;/li&gt;",""),"&lt;br&gt;",CHAR(10)),"&lt;strong&gt;",""))</f>
        <v/>
      </c>
      <c r="H89" s="12" cm="1" t="str">
        <f t="array" ref="H89">IF(G89="","",SUBSTITUTE(SUBSTITUTE(SUBSTITUTE(SUBSTITUTE(SUBSTITUTE(G89,"&lt;p&gt;",""),"&lt;/p&gt;",""),"&lt;ul&gt;",""),"&lt;/ul&gt;",""),"&lt;/strong&gt;",""))</f>
        <v/>
      </c>
      <c r="I89" s="12" cm="1" t="str">
        <f t="array" ref="I89">IF(C89="","",IF(OR(H89="",H89=0,H89=FALSE),"-",H89))</f>
        <v/>
      </c>
      <c r="J89" s="13">
</c>
      <c r="K89" s="9">
</c>
      <c r="L89" s="9" cm="1" t="str">
        <f t="array" ref="L89">IF(C89="","",IF(K89="Mort / Plus rien à faire","KO","OK"))</f>
        <v/>
      </c>
      <c r="M89" s="14">
</c>
      <c r="N89" s="14" cm="1" t="str">
        <f t="array" ref="N89">IF(OR(C89="",M89="",M89=0),"",M89)</f>
        <v/>
      </c>
      <c r="O89" s="14">
</c>
      <c r="P89" s="14" cm="1" t="str">
        <f t="array" ref="P89">IF(C89="","",IF(OR(O89="",O89=0),"-",O89))</f>
        <v/>
      </c>
      <c r="Q89" s="15">
</c>
      <c r="R89" s="9" cm="1" t="str">
        <f t="array" ref="R89">IF(C89="","",ROUND(Q89/1000000,3)&amp;" M€")</f>
        <v/>
      </c>
      <c r="S89" s="16">
</c>
      <c r="T89" s="9" cm="1" t="str">
        <f t="array" ref="T89">IF(C89="","",SUBSTITUTE(S89,"","")&amp;"%")</f>
        <v/>
      </c>
      <c r="U89" s="12" cm="1" t="str">
        <f t="array" ref="U89">IF(($N89="")*($P89=""),"",IF(($N89&lt;&gt;"")*($N89&gt;TODAY()-9)*($N89&lt;TODAY()+1)*($P89&lt;&gt;"")*($P89&gt;=TODAY())*($P89&lt;=TODAY()+13),"Semaine passée &amp; à venir",IF(($N89&lt;&gt;"")*($N89&gt;TODAY()-9)*($N89&lt;TODAY()+1),"Semaine passée",IF(($P89&lt;&gt;"")*($P89&gt;=TODAY())*($P89&lt;=TODAY()+13),"À venir","Autre"))))</f>
        <v/>
      </c>
      <c r="V89" cm="1" t="n">
        <f t="array" ref="V89">IF(C89&lt;&gt;"",1,0)</f>
        <v>0</v>
      </c>
    </row>
    <row r="90" ht="78.75" customHeight="1">
      <c r="A90" s="9">
</c>
      <c r="B90" s="9">
</c>
      <c r="C90" s="10">
</c>
      <c r="D90" s="11">
</c>
      <c r="E90" s="9">
</c>
      <c r="F90" s="13">
</c>
      <c r="G90" s="12" cm="1" t="str">
        <f t="array" ref="G90">IF(F90="","",SUBSTITUTE(SUBSTITUTE(SUBSTITUTE(SUBSTITUTE(F90,"&lt;li&gt;",CHAR(10)),"&lt;/li&gt;",""),"&lt;br&gt;",CHAR(10)),"&lt;strong&gt;",""))</f>
        <v/>
      </c>
      <c r="H90" s="12" cm="1" t="str">
        <f t="array" ref="H90">IF(G90="","",SUBSTITUTE(SUBSTITUTE(SUBSTITUTE(SUBSTITUTE(SUBSTITUTE(G90,"&lt;p&gt;",""),"&lt;/p&gt;",""),"&lt;ul&gt;",""),"&lt;/ul&gt;",""),"&lt;/strong&gt;",""))</f>
        <v/>
      </c>
      <c r="I90" s="12" cm="1" t="str">
        <f t="array" ref="I90">IF(C90="","",IF(OR(H90="",H90=0,H90=FALSE),"-",H90))</f>
        <v/>
      </c>
      <c r="J90" s="13">
</c>
      <c r="K90" s="9">
</c>
      <c r="L90" s="9" cm="1" t="str">
        <f t="array" ref="L90">IF(C90="","",IF(K90="Mort / Plus rien à faire","KO","OK"))</f>
        <v/>
      </c>
      <c r="M90" s="14">
</c>
      <c r="N90" s="14" cm="1" t="str">
        <f t="array" ref="N90">IF(OR(C90="",M90="",M90=0),"",M90)</f>
        <v/>
      </c>
      <c r="O90" s="14">
</c>
      <c r="P90" s="14" cm="1" t="str">
        <f t="array" ref="P90">IF(C90="","",IF(OR(O90="",O90=0),"-",O90))</f>
        <v/>
      </c>
      <c r="Q90" s="15">
</c>
      <c r="R90" s="9" cm="1" t="str">
        <f t="array" ref="R90">IF(C90="","",ROUND(Q90/1000000,3)&amp;" M€")</f>
        <v/>
      </c>
      <c r="S90" s="16">
</c>
      <c r="T90" s="9" cm="1" t="str">
        <f t="array" ref="T90">IF(C90="","",SUBSTITUTE(S90,"","")&amp;"%")</f>
        <v/>
      </c>
      <c r="U90" s="12" cm="1" t="str">
        <f t="array" ref="U90">IF(($N90="")*($P90=""),"",IF(($N90&lt;&gt;"")*($N90&gt;TODAY()-9)*($N90&lt;TODAY()+1)*($P90&lt;&gt;"")*($P90&gt;=TODAY())*($P90&lt;=TODAY()+13),"Semaine passée &amp; à venir",IF(($N90&lt;&gt;"")*($N90&gt;TODAY()-9)*($N90&lt;TODAY()+1),"Semaine passée",IF(($P90&lt;&gt;"")*($P90&gt;=TODAY())*($P90&lt;=TODAY()+13),"À venir","Autre"))))</f>
        <v/>
      </c>
      <c r="V90" cm="1" t="n">
        <f t="array" ref="V90">IF(C90&lt;&gt;"",1,0)</f>
        <v>0</v>
      </c>
    </row>
    <row r="91" ht="78.75" customHeight="1">
      <c r="A91" s="9">
</c>
      <c r="B91" s="9">
</c>
      <c r="C91" s="10">
</c>
      <c r="D91" s="11">
</c>
      <c r="E91" s="9">
</c>
      <c r="F91" s="13">
</c>
      <c r="G91" s="12" cm="1" t="str">
        <f t="array" ref="G91">IF(F91="","",SUBSTITUTE(SUBSTITUTE(SUBSTITUTE(SUBSTITUTE(F91,"&lt;li&gt;",CHAR(10)),"&lt;/li&gt;",""),"&lt;br&gt;",CHAR(10)),"&lt;strong&gt;",""))</f>
        <v/>
      </c>
      <c r="H91" s="12" cm="1" t="str">
        <f t="array" ref="H91">IF(G91="","",SUBSTITUTE(SUBSTITUTE(SUBSTITUTE(SUBSTITUTE(SUBSTITUTE(G91,"&lt;p&gt;",""),"&lt;/p&gt;",""),"&lt;ul&gt;",""),"&lt;/ul&gt;",""),"&lt;/strong&gt;",""))</f>
        <v/>
      </c>
      <c r="I91" s="12" cm="1" t="str">
        <f t="array" ref="I91">IF(C91="","",IF(OR(H91="",H91=0,H91=FALSE),"-",H91))</f>
        <v/>
      </c>
      <c r="J91" s="13">
</c>
      <c r="K91" s="9">
</c>
      <c r="L91" s="9" cm="1" t="str">
        <f t="array" ref="L91">IF(C91="","",IF(K91="Mort / Plus rien à faire","KO","OK"))</f>
        <v/>
      </c>
      <c r="M91" s="14">
</c>
      <c r="N91" s="14" cm="1" t="str">
        <f t="array" ref="N91">IF(OR(C91="",M91="",M91=0),"",M91)</f>
        <v/>
      </c>
      <c r="O91" s="14">
</c>
      <c r="P91" s="14" cm="1" t="str">
        <f t="array" ref="P91">IF(C91="","",IF(OR(O91="",O91=0),"-",O91))</f>
        <v/>
      </c>
      <c r="Q91" s="15">
</c>
      <c r="R91" s="9" cm="1" t="str">
        <f t="array" ref="R91">IF(C91="","",ROUND(Q91/1000000,3)&amp;" M€")</f>
        <v/>
      </c>
      <c r="S91" s="16">
</c>
      <c r="T91" s="9" cm="1" t="str">
        <f t="array" ref="T91">IF(C91="","",SUBSTITUTE(S91,"","")&amp;"%")</f>
        <v/>
      </c>
      <c r="U91" s="12" cm="1" t="str">
        <f t="array" ref="U91">IF(($N91="")*($P91=""),"",IF(($N91&lt;&gt;"")*($N91&gt;TODAY()-9)*($N91&lt;TODAY()+1)*($P91&lt;&gt;"")*($P91&gt;=TODAY())*($P91&lt;=TODAY()+13),"Semaine passée &amp; à venir",IF(($N91&lt;&gt;"")*($N91&gt;TODAY()-9)*($N91&lt;TODAY()+1),"Semaine passée",IF(($P91&lt;&gt;"")*($P91&gt;=TODAY())*($P91&lt;=TODAY()+13),"À venir","Autre"))))</f>
        <v/>
      </c>
      <c r="V91" cm="1" t="n">
        <f t="array" ref="V91">IF(C91&lt;&gt;"",1,0)</f>
        <v>0</v>
      </c>
    </row>
    <row r="92" ht="78.75" customHeight="1">
      <c r="A92" s="9">
</c>
      <c r="B92" s="9">
</c>
      <c r="C92" s="10">
</c>
      <c r="D92" s="11">
</c>
      <c r="E92" s="9">
</c>
      <c r="F92" s="13">
</c>
      <c r="G92" s="12" cm="1" t="str">
        <f t="array" ref="G92">IF(F92="","",SUBSTITUTE(SUBSTITUTE(SUBSTITUTE(SUBSTITUTE(F92,"&lt;li&gt;",CHAR(10)),"&lt;/li&gt;",""),"&lt;br&gt;",CHAR(10)),"&lt;strong&gt;",""))</f>
        <v/>
      </c>
      <c r="H92" s="12" cm="1" t="str">
        <f t="array" ref="H92">IF(G92="","",SUBSTITUTE(SUBSTITUTE(SUBSTITUTE(SUBSTITUTE(SUBSTITUTE(G92,"&lt;p&gt;",""),"&lt;/p&gt;",""),"&lt;ul&gt;",""),"&lt;/ul&gt;",""),"&lt;/strong&gt;",""))</f>
        <v/>
      </c>
      <c r="I92" s="12" cm="1" t="str">
        <f t="array" ref="I92">IF(C92="","",IF(OR(H92="",H92=0,H92=FALSE),"-",H92))</f>
        <v/>
      </c>
      <c r="J92" s="13">
</c>
      <c r="K92" s="9">
</c>
      <c r="L92" s="9" cm="1" t="str">
        <f t="array" ref="L92">IF(C92="","",IF(K92="Mort / Plus rien à faire","KO","OK"))</f>
        <v/>
      </c>
      <c r="M92" s="14">
</c>
      <c r="N92" s="14" cm="1" t="str">
        <f t="array" ref="N92">IF(OR(C92="",M92="",M92=0),"",M92)</f>
        <v/>
      </c>
      <c r="O92" s="14">
</c>
      <c r="P92" s="14" cm="1" t="str">
        <f t="array" ref="P92">IF(C92="","",IF(OR(O92="",O92=0),"-",O92))</f>
        <v/>
      </c>
      <c r="Q92" s="15">
</c>
      <c r="R92" s="9" cm="1" t="str">
        <f t="array" ref="R92">IF(C92="","",ROUND(Q92/1000000,3)&amp;" M€")</f>
        <v/>
      </c>
      <c r="S92" s="16">
</c>
      <c r="T92" s="9" cm="1" t="str">
        <f t="array" ref="T92">IF(C92="","",SUBSTITUTE(S92,"","")&amp;"%")</f>
        <v/>
      </c>
      <c r="U92" s="12" cm="1" t="str">
        <f t="array" ref="U92">IF(($N92="")*($P92=""),"",IF(($N92&lt;&gt;"")*($N92&gt;TODAY()-9)*($N92&lt;TODAY()+1)*($P92&lt;&gt;"")*($P92&gt;=TODAY())*($P92&lt;=TODAY()+13),"Semaine passée &amp; à venir",IF(($N92&lt;&gt;"")*($N92&gt;TODAY()-9)*($N92&lt;TODAY()+1),"Semaine passée",IF(($P92&lt;&gt;"")*($P92&gt;=TODAY())*($P92&lt;=TODAY()+13),"À venir","Autre"))))</f>
        <v/>
      </c>
      <c r="V92" cm="1" t="n">
        <f t="array" ref="V92">IF(C92&lt;&gt;"",1,0)</f>
        <v>0</v>
      </c>
    </row>
    <row r="93" ht="78.75" customHeight="1">
      <c r="A93" s="9">
</c>
      <c r="B93" s="9">
</c>
      <c r="C93" s="10">
</c>
      <c r="D93" s="11">
</c>
      <c r="E93" s="9">
</c>
      <c r="F93" s="13">
</c>
      <c r="G93" s="12" cm="1" t="str">
        <f t="array" ref="G93">IF(F93="","",SUBSTITUTE(SUBSTITUTE(SUBSTITUTE(SUBSTITUTE(F93,"&lt;li&gt;",CHAR(10)),"&lt;/li&gt;",""),"&lt;br&gt;",CHAR(10)),"&lt;strong&gt;",""))</f>
        <v/>
      </c>
      <c r="H93" s="12" cm="1" t="str">
        <f t="array" ref="H93">IF(G93="","",SUBSTITUTE(SUBSTITUTE(SUBSTITUTE(SUBSTITUTE(SUBSTITUTE(G93,"&lt;p&gt;",""),"&lt;/p&gt;",""),"&lt;ul&gt;",""),"&lt;/ul&gt;",""),"&lt;/strong&gt;",""))</f>
        <v/>
      </c>
      <c r="I93" s="12" cm="1" t="str">
        <f t="array" ref="I93">IF(C93="","",IF(OR(H93="",H93=0,H93=FALSE),"-",H93))</f>
        <v/>
      </c>
      <c r="J93" s="13">
</c>
      <c r="K93" s="9">
</c>
      <c r="L93" s="9" cm="1" t="str">
        <f t="array" ref="L93">IF(C93="","",IF(K93="Mort / Plus rien à faire","KO","OK"))</f>
        <v/>
      </c>
      <c r="M93" s="14">
</c>
      <c r="N93" s="14" cm="1" t="str">
        <f t="array" ref="N93">IF(OR(C93="",M93="",M93=0),"",M93)</f>
        <v/>
      </c>
      <c r="O93" s="14">
</c>
      <c r="P93" s="14" cm="1" t="str">
        <f t="array" ref="P93">IF(C93="","",IF(OR(O93="",O93=0),"-",O93))</f>
        <v/>
      </c>
      <c r="Q93" s="15">
</c>
      <c r="R93" s="9" cm="1" t="str">
        <f t="array" ref="R93">IF(C93="","",ROUND(Q93/1000000,3)&amp;" M€")</f>
        <v/>
      </c>
      <c r="S93" s="16">
</c>
      <c r="T93" s="9" cm="1" t="str">
        <f t="array" ref="T93">IF(C93="","",SUBSTITUTE(S93,"","")&amp;"%")</f>
        <v/>
      </c>
      <c r="U93" s="12" cm="1" t="str">
        <f t="array" ref="U93">IF(($N93="")*($P93=""),"",IF(($N93&lt;&gt;"")*($N93&gt;TODAY()-9)*($N93&lt;TODAY()+1)*($P93&lt;&gt;"")*($P93&gt;=TODAY())*($P93&lt;=TODAY()+13),"Semaine passée &amp; à venir",IF(($N93&lt;&gt;"")*($N93&gt;TODAY()-9)*($N93&lt;TODAY()+1),"Semaine passée",IF(($P93&lt;&gt;"")*($P93&gt;=TODAY())*($P93&lt;=TODAY()+13),"À venir","Autre"))))</f>
        <v/>
      </c>
      <c r="V93" cm="1" t="n">
        <f t="array" ref="V93">IF(C93&lt;&gt;"",1,0)</f>
        <v>0</v>
      </c>
    </row>
    <row r="94" ht="78.75" customHeight="1">
      <c r="A94" s="9">
</c>
      <c r="B94" s="9">
</c>
      <c r="C94" s="10">
</c>
      <c r="D94" s="11">
</c>
      <c r="E94" s="9">
</c>
      <c r="F94" s="13">
</c>
      <c r="G94" s="12" cm="1" t="str">
        <f t="array" ref="G94">IF(F94="","",SUBSTITUTE(SUBSTITUTE(SUBSTITUTE(SUBSTITUTE(F94,"&lt;li&gt;",CHAR(10)),"&lt;/li&gt;",""),"&lt;br&gt;",CHAR(10)),"&lt;strong&gt;",""))</f>
        <v/>
      </c>
      <c r="H94" s="12" cm="1" t="str">
        <f t="array" ref="H94">IF(G94="","",SUBSTITUTE(SUBSTITUTE(SUBSTITUTE(SUBSTITUTE(SUBSTITUTE(G94,"&lt;p&gt;",""),"&lt;/p&gt;",""),"&lt;ul&gt;",""),"&lt;/ul&gt;",""),"&lt;/strong&gt;",""))</f>
        <v/>
      </c>
      <c r="I94" s="12" cm="1" t="str">
        <f t="array" ref="I94">IF(C94="","",IF(OR(H94="",H94=0,H94=FALSE),"-",H94))</f>
        <v/>
      </c>
      <c r="J94" s="13">
</c>
      <c r="K94" s="9">
</c>
      <c r="L94" s="9" cm="1" t="str">
        <f t="array" ref="L94">IF(C94="","",IF(K94="Mort / Plus rien à faire","KO","OK"))</f>
        <v/>
      </c>
      <c r="M94" s="14">
</c>
      <c r="N94" s="14" cm="1" t="str">
        <f t="array" ref="N94">IF(OR(C94="",M94="",M94=0),"",M94)</f>
        <v/>
      </c>
      <c r="O94" s="14">
</c>
      <c r="P94" s="14" cm="1" t="str">
        <f t="array" ref="P94">IF(C94="","",IF(OR(O94="",O94=0),"-",O94))</f>
        <v/>
      </c>
      <c r="Q94" s="15">
</c>
      <c r="R94" s="9" cm="1" t="str">
        <f t="array" ref="R94">IF(C94="","",ROUND(Q94/1000000,3)&amp;" M€")</f>
        <v/>
      </c>
      <c r="S94" s="16">
</c>
      <c r="T94" s="9" cm="1" t="str">
        <f t="array" ref="T94">IF(C94="","",SUBSTITUTE(S94,"","")&amp;"%")</f>
        <v/>
      </c>
      <c r="U94" s="12" cm="1" t="str">
        <f t="array" ref="U94">IF(($N94="")*($P94=""),"",IF(($N94&lt;&gt;"")*($N94&gt;TODAY()-9)*($N94&lt;TODAY()+1)*($P94&lt;&gt;"")*($P94&gt;=TODAY())*($P94&lt;=TODAY()+13),"Semaine passée &amp; à venir",IF(($N94&lt;&gt;"")*($N94&gt;TODAY()-9)*($N94&lt;TODAY()+1),"Semaine passée",IF(($P94&lt;&gt;"")*($P94&gt;=TODAY())*($P94&lt;=TODAY()+13),"À venir","Autre"))))</f>
        <v/>
      </c>
      <c r="V94" cm="1" t="n">
        <f t="array" ref="V94">IF(C94&lt;&gt;"",1,0)</f>
        <v>0</v>
      </c>
    </row>
    <row r="95" ht="78.75" customHeight="1">
      <c r="A95" s="9">
</c>
      <c r="B95" s="9">
</c>
      <c r="C95" s="10">
</c>
      <c r="D95" s="11">
</c>
      <c r="E95" s="9">
</c>
      <c r="F95" s="13">
</c>
      <c r="G95" s="12" cm="1" t="str">
        <f t="array" ref="G95">IF(F95="","",SUBSTITUTE(SUBSTITUTE(SUBSTITUTE(SUBSTITUTE(F95,"&lt;li&gt;",CHAR(10)),"&lt;/li&gt;",""),"&lt;br&gt;",CHAR(10)),"&lt;strong&gt;",""))</f>
        <v/>
      </c>
      <c r="H95" s="12" cm="1" t="str">
        <f t="array" ref="H95">IF(G95="","",SUBSTITUTE(SUBSTITUTE(SUBSTITUTE(SUBSTITUTE(SUBSTITUTE(G95,"&lt;p&gt;",""),"&lt;/p&gt;",""),"&lt;ul&gt;",""),"&lt;/ul&gt;",""),"&lt;/strong&gt;",""))</f>
        <v/>
      </c>
      <c r="I95" s="12" cm="1" t="str">
        <f t="array" ref="I95">IF(C95="","",IF(OR(H95="",H95=0,H95=FALSE),"-",H95))</f>
        <v/>
      </c>
      <c r="J95" s="13">
</c>
      <c r="K95" s="9">
</c>
      <c r="L95" s="9" cm="1" t="str">
        <f t="array" ref="L95">IF(C95="","",IF(K95="Mort / Plus rien à faire","KO","OK"))</f>
        <v/>
      </c>
      <c r="M95" s="14">
</c>
      <c r="N95" s="14" cm="1" t="str">
        <f t="array" ref="N95">IF(OR(C95="",M95="",M95=0),"",M95)</f>
        <v/>
      </c>
      <c r="O95" s="14">
</c>
      <c r="P95" s="14" cm="1" t="str">
        <f t="array" ref="P95">IF(C95="","",IF(OR(O95="",O95=0),"-",O95))</f>
        <v/>
      </c>
      <c r="Q95" s="15">
</c>
      <c r="R95" s="9" cm="1" t="str">
        <f t="array" ref="R95">IF(C95="","",ROUND(Q95/1000000,3)&amp;" M€")</f>
        <v/>
      </c>
      <c r="S95" s="16">
</c>
      <c r="T95" s="9" cm="1" t="str">
        <f t="array" ref="T95">IF(C95="","",SUBSTITUTE(S95,"","")&amp;"%")</f>
        <v/>
      </c>
      <c r="U95" s="12" cm="1" t="str">
        <f t="array" ref="U95">IF(($N95="")*($P95=""),"",IF(($N95&lt;&gt;"")*($N95&gt;TODAY()-9)*($N95&lt;TODAY()+1)*($P95&lt;&gt;"")*($P95&gt;=TODAY())*($P95&lt;=TODAY()+13),"Semaine passée &amp; à venir",IF(($N95&lt;&gt;"")*($N95&gt;TODAY()-9)*($N95&lt;TODAY()+1),"Semaine passée",IF(($P95&lt;&gt;"")*($P95&gt;=TODAY())*($P95&lt;=TODAY()+13),"À venir","Autre"))))</f>
        <v/>
      </c>
      <c r="V95" cm="1" t="n">
        <f t="array" ref="V95">IF(C95&lt;&gt;"",1,0)</f>
        <v>0</v>
      </c>
    </row>
    <row r="96" ht="78.75" customHeight="1">
      <c r="A96" s="9">
</c>
      <c r="B96" s="9">
</c>
      <c r="C96" s="10">
</c>
      <c r="D96" s="11">
</c>
      <c r="E96" s="9">
</c>
      <c r="F96" s="13">
</c>
      <c r="G96" s="12" cm="1" t="str">
        <f t="array" ref="G96">IF(F96="","",SUBSTITUTE(SUBSTITUTE(SUBSTITUTE(SUBSTITUTE(F96,"&lt;li&gt;",CHAR(10)),"&lt;/li&gt;",""),"&lt;br&gt;",CHAR(10)),"&lt;strong&gt;",""))</f>
        <v/>
      </c>
      <c r="H96" s="12" cm="1" t="str">
        <f t="array" ref="H96">IF(G96="","",SUBSTITUTE(SUBSTITUTE(SUBSTITUTE(SUBSTITUTE(SUBSTITUTE(G96,"&lt;p&gt;",""),"&lt;/p&gt;",""),"&lt;ul&gt;",""),"&lt;/ul&gt;",""),"&lt;/strong&gt;",""))</f>
        <v/>
      </c>
      <c r="I96" s="12" cm="1" t="str">
        <f t="array" ref="I96">IF(C96="","",IF(OR(H96="",H96=0,H96=FALSE),"-",H96))</f>
        <v/>
      </c>
      <c r="J96" s="13">
</c>
      <c r="K96" s="9">
</c>
      <c r="L96" s="9" cm="1" t="str">
        <f t="array" ref="L96">IF(C96="","",IF(K96="Mort / Plus rien à faire","KO","OK"))</f>
        <v/>
      </c>
      <c r="M96" s="14">
</c>
      <c r="N96" s="14" cm="1" t="str">
        <f t="array" ref="N96">IF(OR(C96="",M96="",M96=0),"",M96)</f>
        <v/>
      </c>
      <c r="O96" s="14">
</c>
      <c r="P96" s="14" cm="1" t="str">
        <f t="array" ref="P96">IF(C96="","",IF(OR(O96="",O96=0),"-",O96))</f>
        <v/>
      </c>
      <c r="Q96" s="15">
</c>
      <c r="R96" s="9" cm="1" t="str">
        <f t="array" ref="R96">IF(C96="","",ROUND(Q96/1000000,3)&amp;" M€")</f>
        <v/>
      </c>
      <c r="S96" s="16">
</c>
      <c r="T96" s="9" cm="1" t="str">
        <f t="array" ref="T96">IF(C96="","",SUBSTITUTE(S96,"","")&amp;"%")</f>
        <v/>
      </c>
      <c r="U96" s="12" cm="1" t="str">
        <f t="array" ref="U96">IF(($N96="")*($P96=""),"",IF(($N96&lt;&gt;"")*($N96&gt;TODAY()-9)*($N96&lt;TODAY()+1)*($P96&lt;&gt;"")*($P96&gt;=TODAY())*($P96&lt;=TODAY()+13),"Semaine passée &amp; à venir",IF(($N96&lt;&gt;"")*($N96&gt;TODAY()-9)*($N96&lt;TODAY()+1),"Semaine passée",IF(($P96&lt;&gt;"")*($P96&gt;=TODAY())*($P96&lt;=TODAY()+13),"À venir","Autre"))))</f>
        <v/>
      </c>
      <c r="V96" cm="1" t="n">
        <f t="array" ref="V96">IF(C96&lt;&gt;"",1,0)</f>
        <v>0</v>
      </c>
    </row>
    <row r="97" ht="78.75" customHeight="1">
      <c r="A97" s="9">
</c>
      <c r="B97" s="9">
</c>
      <c r="C97" s="10">
</c>
      <c r="D97" s="11">
</c>
      <c r="E97" s="9">
</c>
      <c r="F97" s="13">
</c>
      <c r="G97" s="12" cm="1" t="str">
        <f t="array" ref="G97">IF(F97="","",SUBSTITUTE(SUBSTITUTE(SUBSTITUTE(SUBSTITUTE(F97,"&lt;li&gt;",CHAR(10)),"&lt;/li&gt;",""),"&lt;br&gt;",CHAR(10)),"&lt;strong&gt;",""))</f>
        <v/>
      </c>
      <c r="H97" s="12" cm="1" t="str">
        <f t="array" ref="H97">IF(G97="","",SUBSTITUTE(SUBSTITUTE(SUBSTITUTE(SUBSTITUTE(SUBSTITUTE(G97,"&lt;p&gt;",""),"&lt;/p&gt;",""),"&lt;ul&gt;",""),"&lt;/ul&gt;",""),"&lt;/strong&gt;",""))</f>
        <v/>
      </c>
      <c r="I97" s="12" cm="1" t="str">
        <f t="array" ref="I97">IF(C97="","",IF(OR(H97="",H97=0,H97=FALSE),"-",H97))</f>
        <v/>
      </c>
      <c r="J97" s="13">
</c>
      <c r="K97" s="9">
</c>
      <c r="L97" s="9" cm="1" t="str">
        <f t="array" ref="L97">IF(C97="","",IF(K97="Mort / Plus rien à faire","KO","OK"))</f>
        <v/>
      </c>
      <c r="M97" s="14">
</c>
      <c r="N97" s="14" cm="1" t="str">
        <f t="array" ref="N97">IF(OR(C97="",M97="",M97=0),"",M97)</f>
        <v/>
      </c>
      <c r="O97" s="14">
</c>
      <c r="P97" s="14" cm="1" t="str">
        <f t="array" ref="P97">IF(C97="","",IF(OR(O97="",O97=0),"-",O97))</f>
        <v/>
      </c>
      <c r="Q97" s="15">
</c>
      <c r="R97" s="9" cm="1" t="str">
        <f t="array" ref="R97">IF(C97="","",ROUND(Q97/1000000,3)&amp;" M€")</f>
        <v/>
      </c>
      <c r="S97" s="16">
</c>
      <c r="T97" s="9" cm="1" t="str">
        <f t="array" ref="T97">IF(C97="","",SUBSTITUTE(S97,"","")&amp;"%")</f>
        <v/>
      </c>
      <c r="U97" s="12" cm="1" t="str">
        <f t="array" ref="U97">IF(($N97="")*($P97=""),"",IF(($N97&lt;&gt;"")*($N97&gt;TODAY()-9)*($N97&lt;TODAY()+1)*($P97&lt;&gt;"")*($P97&gt;=TODAY())*($P97&lt;=TODAY()+13),"Semaine passée &amp; à venir",IF(($N97&lt;&gt;"")*($N97&gt;TODAY()-9)*($N97&lt;TODAY()+1),"Semaine passée",IF(($P97&lt;&gt;"")*($P97&gt;=TODAY())*($P97&lt;=TODAY()+13),"À venir","Autre"))))</f>
        <v/>
      </c>
      <c r="V97" cm="1" t="n">
        <f t="array" ref="V97">IF(C97&lt;&gt;"",1,0)</f>
        <v>0</v>
      </c>
    </row>
    <row r="98" ht="78.75" customHeight="1">
      <c r="A98" s="9">
</c>
      <c r="B98" s="9">
</c>
      <c r="C98" s="10">
</c>
      <c r="D98" s="11">
</c>
      <c r="E98" s="9">
</c>
      <c r="F98" s="13">
</c>
      <c r="G98" s="12" cm="1" t="str">
        <f t="array" ref="G98">IF(F98="","",SUBSTITUTE(SUBSTITUTE(SUBSTITUTE(SUBSTITUTE(F98,"&lt;li&gt;",CHAR(10)),"&lt;/li&gt;",""),"&lt;br&gt;",CHAR(10)),"&lt;strong&gt;",""))</f>
        <v/>
      </c>
      <c r="H98" s="12" cm="1" t="str">
        <f t="array" ref="H98">IF(G98="","",SUBSTITUTE(SUBSTITUTE(SUBSTITUTE(SUBSTITUTE(SUBSTITUTE(G98,"&lt;p&gt;",""),"&lt;/p&gt;",""),"&lt;ul&gt;",""),"&lt;/ul&gt;",""),"&lt;/strong&gt;",""))</f>
        <v/>
      </c>
      <c r="I98" s="12" cm="1" t="str">
        <f t="array" ref="I98">IF(C98="","",IF(OR(H98="",H98=0,H98=FALSE),"-",H98))</f>
        <v/>
      </c>
      <c r="J98" s="13">
</c>
      <c r="K98" s="9">
</c>
      <c r="L98" s="9" cm="1" t="str">
        <f t="array" ref="L98">IF(C98="","",IF(K98="Mort / Plus rien à faire","KO","OK"))</f>
        <v/>
      </c>
      <c r="M98" s="14">
</c>
      <c r="N98" s="14" cm="1" t="str">
        <f t="array" ref="N98">IF(OR(C98="",M98="",M98=0),"",M98)</f>
        <v/>
      </c>
      <c r="O98" s="14">
</c>
      <c r="P98" s="14" cm="1" t="str">
        <f t="array" ref="P98">IF(C98="","",IF(OR(O98="",O98=0),"-",O98))</f>
        <v/>
      </c>
      <c r="Q98" s="15">
</c>
      <c r="R98" s="9" cm="1" t="str">
        <f t="array" ref="R98">IF(C98="","",ROUND(Q98/1000000,3)&amp;" M€")</f>
        <v/>
      </c>
      <c r="S98" s="16">
</c>
      <c r="T98" s="9" cm="1" t="str">
        <f t="array" ref="T98">IF(C98="","",SUBSTITUTE(S98,"","")&amp;"%")</f>
        <v/>
      </c>
      <c r="U98" s="12" cm="1" t="str">
        <f t="array" ref="U98">IF(($N98="")*($P98=""),"",IF(($N98&lt;&gt;"")*($N98&gt;TODAY()-9)*($N98&lt;TODAY()+1)*($P98&lt;&gt;"")*($P98&gt;=TODAY())*($P98&lt;=TODAY()+13),"Semaine passée &amp; à venir",IF(($N98&lt;&gt;"")*($N98&gt;TODAY()-9)*($N98&lt;TODAY()+1),"Semaine passée",IF(($P98&lt;&gt;"")*($P98&gt;=TODAY())*($P98&lt;=TODAY()+13),"À venir","Autre"))))</f>
        <v/>
      </c>
      <c r="V98" cm="1" t="n">
        <f t="array" ref="V98">IF(C98&lt;&gt;"",1,0)</f>
        <v>0</v>
      </c>
    </row>
    <row r="99" ht="78.75" customHeight="1">
      <c r="A99" s="9">
</c>
      <c r="B99" s="9">
</c>
      <c r="C99" s="10">
</c>
      <c r="D99" s="11">
</c>
      <c r="E99" s="9">
</c>
      <c r="F99" s="13">
</c>
      <c r="G99" s="12" cm="1" t="str">
        <f t="array" ref="G99">IF(F99="","",SUBSTITUTE(SUBSTITUTE(SUBSTITUTE(SUBSTITUTE(F99,"&lt;li&gt;",CHAR(10)),"&lt;/li&gt;",""),"&lt;br&gt;",CHAR(10)),"&lt;strong&gt;",""))</f>
        <v/>
      </c>
      <c r="H99" s="12" cm="1" t="str">
        <f t="array" ref="H99">IF(G99="","",SUBSTITUTE(SUBSTITUTE(SUBSTITUTE(SUBSTITUTE(SUBSTITUTE(G99,"&lt;p&gt;",""),"&lt;/p&gt;",""),"&lt;ul&gt;",""),"&lt;/ul&gt;",""),"&lt;/strong&gt;",""))</f>
        <v/>
      </c>
      <c r="I99" s="12" cm="1" t="str">
        <f t="array" ref="I99">IF(C99="","",IF(OR(H99="",H99=0,H99=FALSE),"-",H99))</f>
        <v/>
      </c>
      <c r="J99" s="13">
</c>
      <c r="K99" s="9">
</c>
      <c r="L99" s="9" cm="1" t="str">
        <f t="array" ref="L99">IF(C99="","",IF(K99="Mort / Plus rien à faire","KO","OK"))</f>
        <v/>
      </c>
      <c r="M99" s="14">
</c>
      <c r="N99" s="14" cm="1" t="str">
        <f t="array" ref="N99">IF(OR(C99="",M99="",M99=0),"",M99)</f>
        <v/>
      </c>
      <c r="O99" s="14">
</c>
      <c r="P99" s="14" cm="1" t="str">
        <f t="array" ref="P99">IF(C99="","",IF(OR(O99="",O99=0),"-",O99))</f>
        <v/>
      </c>
      <c r="Q99" s="15">
</c>
      <c r="R99" s="9" cm="1" t="str">
        <f t="array" ref="R99">IF(C99="","",ROUND(Q99/1000000,3)&amp;" M€")</f>
        <v/>
      </c>
      <c r="S99" s="16">
</c>
      <c r="T99" s="9" cm="1" t="str">
        <f t="array" ref="T99">IF(C99="","",SUBSTITUTE(S99,"","")&amp;"%")</f>
        <v/>
      </c>
      <c r="U99" s="12" cm="1" t="str">
        <f t="array" ref="U99">IF(($N99="")*($P99=""),"",IF(($N99&lt;&gt;"")*($N99&gt;TODAY()-9)*($N99&lt;TODAY()+1)*($P99&lt;&gt;"")*($P99&gt;=TODAY())*($P99&lt;=TODAY()+13),"Semaine passée &amp; à venir",IF(($N99&lt;&gt;"")*($N99&gt;TODAY()-9)*($N99&lt;TODAY()+1),"Semaine passée",IF(($P99&lt;&gt;"")*($P99&gt;=TODAY())*($P99&lt;=TODAY()+13),"À venir","Autre"))))</f>
        <v/>
      </c>
      <c r="V99" cm="1" t="n">
        <f t="array" ref="V99">IF(C99&lt;&gt;"",1,0)</f>
        <v>0</v>
      </c>
    </row>
    <row r="100" ht="78.75" customHeight="1">
      <c r="A100" s="9">
</c>
      <c r="B100" s="9">
</c>
      <c r="C100" s="10">
</c>
      <c r="D100" s="11">
</c>
      <c r="E100" s="9">
</c>
      <c r="F100" s="13">
</c>
      <c r="G100" s="12" cm="1" t="str">
        <f t="array" ref="G100">IF(F100="","",SUBSTITUTE(SUBSTITUTE(SUBSTITUTE(SUBSTITUTE(F100,"&lt;li&gt;",CHAR(10)),"&lt;/li&gt;",""),"&lt;br&gt;",CHAR(10)),"&lt;strong&gt;",""))</f>
        <v/>
      </c>
      <c r="H100" s="12" cm="1" t="str">
        <f t="array" ref="H100">IF(G100="","",SUBSTITUTE(SUBSTITUTE(SUBSTITUTE(SUBSTITUTE(SUBSTITUTE(G100,"&lt;p&gt;",""),"&lt;/p&gt;",""),"&lt;ul&gt;",""),"&lt;/ul&gt;",""),"&lt;/strong&gt;",""))</f>
        <v/>
      </c>
      <c r="I100" s="12" cm="1" t="str">
        <f t="array" ref="I100">IF(C100="","",IF(OR(H100="",H100=0,H100=FALSE),"-",H100))</f>
        <v/>
      </c>
      <c r="J100" s="13">
</c>
      <c r="K100" s="9">
</c>
      <c r="L100" s="9" cm="1" t="str">
        <f t="array" ref="L100">IF(C100="","",IF(K100="Mort / Plus rien à faire","KO","OK"))</f>
        <v/>
      </c>
      <c r="M100" s="14">
</c>
      <c r="N100" s="14" cm="1" t="str">
        <f t="array" ref="N100">IF(OR(C100="",M100="",M100=0),"",M100)</f>
        <v/>
      </c>
      <c r="O100" s="14">
</c>
      <c r="P100" s="14" cm="1" t="str">
        <f t="array" ref="P100">IF(C100="","",IF(OR(O100="",O100=0),"-",O100))</f>
        <v/>
      </c>
      <c r="Q100" s="15">
</c>
      <c r="R100" s="9" cm="1" t="str">
        <f t="array" ref="R100">IF(C100="","",ROUND(Q100/1000000,3)&amp;" M€")</f>
        <v/>
      </c>
      <c r="S100" s="16">
</c>
      <c r="T100" s="9" cm="1" t="str">
        <f t="array" ref="T100">IF(C100="","",SUBSTITUTE(S100,"","")&amp;"%")</f>
        <v/>
      </c>
      <c r="U100" s="12" cm="1" t="str">
        <f t="array" ref="U100">IF(($N100="")*($P100=""),"",IF(($N100&lt;&gt;"")*($N100&gt;TODAY()-9)*($N100&lt;TODAY()+1)*($P100&lt;&gt;"")*($P100&gt;=TODAY())*($P100&lt;=TODAY()+13),"Semaine passée &amp; à venir",IF(($N100&lt;&gt;"")*($N100&gt;TODAY()-9)*($N100&lt;TODAY()+1),"Semaine passée",IF(($P100&lt;&gt;"")*($P100&gt;=TODAY())*($P100&lt;=TODAY()+13),"À venir","Autre"))))</f>
        <v/>
      </c>
      <c r="V100" cm="1" t="n">
        <f t="array" ref="V100">IF(C100&lt;&gt;"",1,0)</f>
        <v>0</v>
      </c>
    </row>
    <row r="101" ht="78.75" customHeight="1">
      <c r="A101" s="9">
</c>
      <c r="B101" s="9">
</c>
      <c r="C101" s="10">
</c>
      <c r="D101" s="11">
</c>
      <c r="E101" s="9">
</c>
      <c r="F101" s="13">
</c>
      <c r="G101" s="12" cm="1" t="str">
        <f t="array" ref="G101">IF(F101="","",SUBSTITUTE(SUBSTITUTE(SUBSTITUTE(SUBSTITUTE(F101,"&lt;li&gt;",CHAR(10)),"&lt;/li&gt;",""),"&lt;br&gt;",CHAR(10)),"&lt;strong&gt;",""))</f>
        <v/>
      </c>
      <c r="H101" s="12" cm="1" t="str">
        <f t="array" ref="H101">IF(G101="","",SUBSTITUTE(SUBSTITUTE(SUBSTITUTE(SUBSTITUTE(SUBSTITUTE(G101,"&lt;p&gt;",""),"&lt;/p&gt;",""),"&lt;ul&gt;",""),"&lt;/ul&gt;",""),"&lt;/strong&gt;",""))</f>
        <v/>
      </c>
      <c r="I101" s="12" cm="1" t="str">
        <f t="array" ref="I101">IF(C101="","",IF(OR(H101="",H101=0,H101=FALSE),"-",H101))</f>
        <v/>
      </c>
      <c r="J101" s="13">
</c>
      <c r="K101" s="9">
</c>
      <c r="L101" s="9" cm="1" t="str">
        <f t="array" ref="L101">IF(C101="","",IF(K101="Mort / Plus rien à faire","KO","OK"))</f>
        <v/>
      </c>
      <c r="M101" s="14">
</c>
      <c r="N101" s="14" cm="1" t="str">
        <f t="array" ref="N101">IF(OR(C101="",M101="",M101=0),"",M101)</f>
        <v/>
      </c>
      <c r="O101" s="14">
</c>
      <c r="P101" s="14" cm="1" t="str">
        <f t="array" ref="P101">IF(C101="","",IF(OR(O101="",O101=0),"-",O101))</f>
        <v/>
      </c>
      <c r="Q101" s="15">
</c>
      <c r="R101" s="9" cm="1" t="str">
        <f t="array" ref="R101">IF(C101="","",ROUND(Q101/1000000,3)&amp;" M€")</f>
        <v/>
      </c>
      <c r="S101" s="16">
</c>
      <c r="T101" s="9" cm="1" t="str">
        <f t="array" ref="T101">IF(C101="","",SUBSTITUTE(S101,"","")&amp;"%")</f>
        <v/>
      </c>
      <c r="U101" s="12" cm="1" t="str">
        <f t="array" ref="U101">IF(($N101="")*($P101=""),"",IF(($N101&lt;&gt;"")*($N101&gt;TODAY()-9)*($N101&lt;TODAY()+1)*($P101&lt;&gt;"")*($P101&gt;=TODAY())*($P101&lt;=TODAY()+13),"Semaine passée &amp; à venir",IF(($N101&lt;&gt;"")*($N101&gt;TODAY()-9)*($N101&lt;TODAY()+1),"Semaine passée",IF(($P101&lt;&gt;"")*($P101&gt;=TODAY())*($P101&lt;=TODAY()+13),"À venir","Autre"))))</f>
        <v/>
      </c>
      <c r="V101" cm="1" t="n">
        <f t="array" ref="V101">IF(C101&lt;&gt;"",1,0)</f>
        <v>0</v>
      </c>
    </row>
    <row r="102" ht="78.75" customHeight="1">
      <c r="A102" s="9">
</c>
      <c r="B102" s="9">
</c>
      <c r="C102" s="10">
</c>
      <c r="D102" s="11">
</c>
      <c r="E102" s="9">
</c>
      <c r="F102" s="13">
</c>
      <c r="G102" s="12" cm="1" t="str">
        <f t="array" ref="G102">IF(F102="","",SUBSTITUTE(SUBSTITUTE(SUBSTITUTE(SUBSTITUTE(F102,"&lt;li&gt;",CHAR(10)),"&lt;/li&gt;",""),"&lt;br&gt;",CHAR(10)),"&lt;strong&gt;",""))</f>
        <v/>
      </c>
      <c r="H102" s="12" cm="1" t="str">
        <f t="array" ref="H102">IF(G102="","",SUBSTITUTE(SUBSTITUTE(SUBSTITUTE(SUBSTITUTE(SUBSTITUTE(G102,"&lt;p&gt;",""),"&lt;/p&gt;",""),"&lt;ul&gt;",""),"&lt;/ul&gt;",""),"&lt;/strong&gt;",""))</f>
        <v/>
      </c>
      <c r="I102" s="12" cm="1" t="str">
        <f t="array" ref="I102">IF(C102="","",IF(OR(H102="",H102=0,H102=FALSE),"-",H102))</f>
        <v/>
      </c>
      <c r="J102" s="13">
</c>
      <c r="K102" s="9">
</c>
      <c r="L102" s="9" cm="1" t="str">
        <f t="array" ref="L102">IF(C102="","",IF(K102="Mort / Plus rien à faire","KO","OK"))</f>
        <v/>
      </c>
      <c r="M102" s="14">
</c>
      <c r="N102" s="14" cm="1" t="str">
        <f t="array" ref="N102">IF(OR(C102="",M102="",M102=0),"",M102)</f>
        <v/>
      </c>
      <c r="O102" s="14">
</c>
      <c r="P102" s="14" cm="1" t="str">
        <f t="array" ref="P102">IF(C102="","",IF(OR(O102="",O102=0),"-",O102))</f>
        <v/>
      </c>
      <c r="Q102" s="15">
</c>
      <c r="R102" s="9" cm="1" t="str">
        <f t="array" ref="R102">IF(C102="","",ROUND(Q102/1000000,3)&amp;" M€")</f>
        <v/>
      </c>
      <c r="S102" s="16">
</c>
      <c r="T102" s="9" cm="1" t="str">
        <f t="array" ref="T102">IF(C102="","",SUBSTITUTE(S102,"","")&amp;"%")</f>
        <v/>
      </c>
      <c r="U102" s="12" cm="1" t="str">
        <f t="array" ref="U102">IF(($N102="")*($P102=""),"",IF(($N102&lt;&gt;"")*($N102&gt;TODAY()-9)*($N102&lt;TODAY()+1)*($P102&lt;&gt;"")*($P102&gt;=TODAY())*($P102&lt;=TODAY()+13),"Semaine passée &amp; à venir",IF(($N102&lt;&gt;"")*($N102&gt;TODAY()-9)*($N102&lt;TODAY()+1),"Semaine passée",IF(($P102&lt;&gt;"")*($P102&gt;=TODAY())*($P102&lt;=TODAY()+13),"À venir","Autre"))))</f>
        <v/>
      </c>
      <c r="V102" cm="1" t="n">
        <f t="array" ref="V102">IF(C102&lt;&gt;"",1,0)</f>
        <v>0</v>
      </c>
    </row>
    <row r="103" ht="78.75" customHeight="1">
      <c r="A103" s="17">
</c>
      <c r="B103" s="13">
</c>
      <c r="C103" s="10">
</c>
      <c r="D103" s="18">
</c>
      <c r="E103" s="13">
</c>
      <c r="F103" s="13">
</c>
      <c r="G103" s="12" cm="1" t="str">
        <f t="array" ref="G103">IF(F103="","",SUBSTITUTE(SUBSTITUTE(SUBSTITUTE(SUBSTITUTE(F103,"&lt;li&gt;",CHAR(10)),"&lt;/li&gt;",""),"&lt;br&gt;",CHAR(10)),"&lt;strong&gt;",""))</f>
        <v/>
      </c>
      <c r="H103" s="12" cm="1" t="str">
        <f t="array" ref="H103">IF(G103="","",SUBSTITUTE(SUBSTITUTE(SUBSTITUTE(SUBSTITUTE(SUBSTITUTE(G103,"&lt;p&gt;",""),"&lt;/p&gt;",""),"&lt;ul&gt;",""),"&lt;/ul&gt;",""),"&lt;/strong&gt;",""))</f>
        <v/>
      </c>
      <c r="I103" s="12" cm="1" t="str">
        <f t="array" ref="I103">IF(C103="","",IF(OR(H103="",H103=0,H103=FALSE),"-",H103))</f>
        <v/>
      </c>
      <c r="J103" s="13">
</c>
      <c r="K103" s="13">
</c>
      <c r="L103" s="9" cm="1" t="str">
        <f t="array" ref="L103">IF(C103="","",IF(K103="Mort / Plus rien à faire","KO","OK"))</f>
        <v/>
      </c>
      <c r="M103" s="19">
</c>
      <c r="N103" s="14" cm="1" t="str">
        <f t="array" ref="N103">IF(OR(C103="",M103="",M103=0),"",M103)</f>
        <v/>
      </c>
      <c r="O103" s="19">
</c>
      <c r="P103" s="14" cm="1" t="str">
        <f t="array" ref="P103">IF(C103="","",IF(OR(O103="",O103=0),"-",O103))</f>
        <v/>
      </c>
      <c r="Q103" s="20">
</c>
      <c r="R103" s="9" cm="1" t="str">
        <f t="array" ref="R103">IF(C103="","",ROUND(Q103/1000000,3)&amp;" M€")</f>
        <v/>
      </c>
      <c r="S103" s="21">
</c>
      <c r="T103" s="9" cm="1" t="str">
        <f t="array" ref="T103">IF(C103="","",SUBSTITUTE(S103,"","")&amp;"%")</f>
        <v/>
      </c>
      <c r="U103" s="12" cm="1" t="str">
        <f t="array" ref="U103">IF(($N103="")*($P103=""),"",IF(($N103&lt;&gt;"")*($N103&gt;TODAY()-9)*($N103&lt;TODAY()+1)*($P103&lt;&gt;"")*($P103&gt;=TODAY())*($P103&lt;=TODAY()+13),"Semaine passée &amp; à venir",IF(($N103&lt;&gt;"")*($N103&gt;TODAY()-9)*($N103&lt;TODAY()+1),"Semaine passée",IF(($P103&lt;&gt;"")*($P103&gt;=TODAY())*($P103&lt;=TODAY()+13),"À venir","Autre"))))</f>
        <v/>
      </c>
      <c r="V103" cm="1" t="n">
        <f t="array" ref="V103">IF(C103&lt;&gt;"",1,0)</f>
        <v>0</v>
      </c>
    </row>
    <row r="104" ht="78.75" customHeight="1">
      <c r="A104" s="17">
</c>
      <c r="B104" s="13">
</c>
      <c r="C104" s="10">
</c>
      <c r="D104" s="18">
</c>
      <c r="E104" s="13">
</c>
      <c r="F104" s="13">
</c>
      <c r="G104" s="12" cm="1" t="str">
        <f t="array" ref="G104">IF(F104="","",SUBSTITUTE(SUBSTITUTE(SUBSTITUTE(SUBSTITUTE(F104,"&lt;li&gt;",CHAR(10)),"&lt;/li&gt;",""),"&lt;br&gt;",CHAR(10)),"&lt;strong&gt;",""))</f>
        <v/>
      </c>
      <c r="H104" s="12" cm="1" t="str">
        <f t="array" ref="H104">IF(G104="","",SUBSTITUTE(SUBSTITUTE(SUBSTITUTE(SUBSTITUTE(SUBSTITUTE(G104,"&lt;p&gt;",""),"&lt;/p&gt;",""),"&lt;ul&gt;",""),"&lt;/ul&gt;",""),"&lt;/strong&gt;",""))</f>
        <v/>
      </c>
      <c r="I104" s="12" cm="1" t="str">
        <f t="array" ref="I104">IF(C104="","",IF(OR(H104="",H104=0,H104=FALSE),"-",H104))</f>
        <v/>
      </c>
      <c r="J104" s="13">
</c>
      <c r="K104" s="13">
</c>
      <c r="L104" s="9" cm="1" t="str">
        <f t="array" ref="L104">IF(C104="","",IF(K104="Mort / Plus rien à faire","KO","OK"))</f>
        <v/>
      </c>
      <c r="M104" s="19">
</c>
      <c r="N104" s="14" cm="1" t="str">
        <f t="array" ref="N104">IF(OR(C104="",M104="",M104=0),"",M104)</f>
        <v/>
      </c>
      <c r="O104" s="19">
</c>
      <c r="P104" s="14" cm="1" t="str">
        <f t="array" ref="P104">IF(C104="","",IF(OR(O104="",O104=0),"-",O104))</f>
        <v/>
      </c>
      <c r="Q104" s="20">
</c>
      <c r="R104" s="9" cm="1" t="str">
        <f t="array" ref="R104">IF(C104="","",ROUND(Q104/1000000,3)&amp;" M€")</f>
        <v/>
      </c>
      <c r="S104" s="21">
</c>
      <c r="T104" s="9" cm="1" t="str">
        <f t="array" ref="T104">IF(C104="","",SUBSTITUTE(S104,"","")&amp;"%")</f>
        <v/>
      </c>
      <c r="U104" s="12" cm="1" t="str">
        <f t="array" ref="U104">IF(($N104="")*($P104=""),"",IF(($N104&lt;&gt;"")*($N104&gt;TODAY()-9)*($N104&lt;TODAY()+1)*($P104&lt;&gt;"")*($P104&gt;=TODAY())*($P104&lt;=TODAY()+13),"Semaine passée &amp; à venir",IF(($N104&lt;&gt;"")*($N104&gt;TODAY()-9)*($N104&lt;TODAY()+1),"Semaine passée",IF(($P104&lt;&gt;"")*($P104&gt;=TODAY())*($P104&lt;=TODAY()+13),"À venir","Autre"))))</f>
        <v/>
      </c>
      <c r="V104" cm="1" t="n">
        <f t="array" ref="V104">IF(C104&lt;&gt;"",1,0)</f>
        <v>0</v>
      </c>
    </row>
    <row r="105" ht="78.75" customHeight="1">
      <c r="A105" s="17">
</c>
      <c r="B105" s="13">
</c>
      <c r="C105" s="10">
</c>
      <c r="D105" s="18">
</c>
      <c r="E105" s="13">
</c>
      <c r="F105" s="13">
</c>
      <c r="G105" s="12" cm="1" t="str">
        <f t="array" ref="G105">IF(F105="","",SUBSTITUTE(SUBSTITUTE(SUBSTITUTE(SUBSTITUTE(F105,"&lt;li&gt;",CHAR(10)),"&lt;/li&gt;",""),"&lt;br&gt;",CHAR(10)),"&lt;strong&gt;",""))</f>
        <v/>
      </c>
      <c r="H105" s="12" cm="1" t="str">
        <f t="array" ref="H105">IF(G105="","",SUBSTITUTE(SUBSTITUTE(SUBSTITUTE(SUBSTITUTE(SUBSTITUTE(G105,"&lt;p&gt;",""),"&lt;/p&gt;",""),"&lt;ul&gt;",""),"&lt;/ul&gt;",""),"&lt;/strong&gt;",""))</f>
        <v/>
      </c>
      <c r="I105" s="12" cm="1" t="str">
        <f t="array" ref="I105">IF(C105="","",IF(OR(H105="",H105=0,H105=FALSE),"-",H105))</f>
        <v/>
      </c>
      <c r="J105" s="13">
</c>
      <c r="K105" s="13">
</c>
      <c r="L105" s="9" cm="1" t="str">
        <f t="array" ref="L105">IF(C105="","",IF(K105="Mort / Plus rien à faire","KO","OK"))</f>
        <v/>
      </c>
      <c r="M105" s="19">
</c>
      <c r="N105" s="14" cm="1" t="str">
        <f t="array" ref="N105">IF(OR(C105="",M105="",M105=0),"",M105)</f>
        <v/>
      </c>
      <c r="O105" s="19">
</c>
      <c r="P105" s="14" cm="1" t="str">
        <f t="array" ref="P105">IF(C105="","",IF(OR(O105="",O105=0),"-",O105))</f>
        <v/>
      </c>
      <c r="Q105" s="20">
</c>
      <c r="R105" s="9" cm="1" t="str">
        <f t="array" ref="R105">IF(C105="","",ROUND(Q105/1000000,3)&amp;" M€")</f>
        <v/>
      </c>
      <c r="S105" s="21">
</c>
      <c r="T105" s="9" cm="1" t="str">
        <f t="array" ref="T105">IF(C105="","",SUBSTITUTE(S105,"","")&amp;"%")</f>
        <v/>
      </c>
      <c r="U105" s="12" cm="1" t="str">
        <f t="array" ref="U105">IF(($N105="")*($P105=""),"",IF(($N105&lt;&gt;"")*($N105&gt;TODAY()-9)*($N105&lt;TODAY()+1)*($P105&lt;&gt;"")*($P105&gt;=TODAY())*($P105&lt;=TODAY()+13),"Semaine passée &amp; à venir",IF(($N105&lt;&gt;"")*($N105&gt;TODAY()-9)*($N105&lt;TODAY()+1),"Semaine passée",IF(($P105&lt;&gt;"")*($P105&gt;=TODAY())*($P105&lt;=TODAY()+13),"À venir","Autre"))))</f>
        <v/>
      </c>
      <c r="V105" cm="1" t="n">
        <f t="array" ref="V105">IF(C105&lt;&gt;"",1,0)</f>
        <v>0</v>
      </c>
    </row>
    <row r="106" ht="78.75" customHeight="1">
      <c r="A106" s="17">
</c>
      <c r="B106" s="13">
</c>
      <c r="C106" s="10">
</c>
      <c r="D106" s="18">
</c>
      <c r="E106" s="13">
</c>
      <c r="F106" s="13">
</c>
      <c r="G106" s="12" cm="1" t="str">
        <f t="array" ref="G106">IF(F106="","",SUBSTITUTE(SUBSTITUTE(SUBSTITUTE(SUBSTITUTE(F106,"&lt;li&gt;",CHAR(10)),"&lt;/li&gt;",""),"&lt;br&gt;",CHAR(10)),"&lt;strong&gt;",""))</f>
        <v/>
      </c>
      <c r="H106" s="12" cm="1" t="str">
        <f t="array" ref="H106">IF(G106="","",SUBSTITUTE(SUBSTITUTE(SUBSTITUTE(SUBSTITUTE(SUBSTITUTE(G106,"&lt;p&gt;",""),"&lt;/p&gt;",""),"&lt;ul&gt;",""),"&lt;/ul&gt;",""),"&lt;/strong&gt;",""))</f>
        <v/>
      </c>
      <c r="I106" s="12" cm="1" t="str">
        <f t="array" ref="I106">IF(C106="","",IF(OR(H106="",H106=0,H106=FALSE),"-",H106))</f>
        <v/>
      </c>
      <c r="J106" s="13">
</c>
      <c r="K106" s="13">
</c>
      <c r="L106" s="9" cm="1" t="str">
        <f t="array" ref="L106">IF(C106="","",IF(K106="Mort / Plus rien à faire","KO","OK"))</f>
        <v/>
      </c>
      <c r="M106" s="19">
</c>
      <c r="N106" s="14" cm="1" t="str">
        <f t="array" ref="N106">IF(OR(C106="",M106="",M106=0),"",M106)</f>
        <v/>
      </c>
      <c r="O106" s="19">
</c>
      <c r="P106" s="14" cm="1" t="str">
        <f t="array" ref="P106">IF(C106="","",IF(OR(O106="",O106=0),"-",O106))</f>
        <v/>
      </c>
      <c r="Q106" s="20">
</c>
      <c r="R106" s="9" cm="1" t="str">
        <f t="array" ref="R106">IF(C106="","",ROUND(Q106/1000000,3)&amp;" M€")</f>
        <v/>
      </c>
      <c r="S106" s="21">
</c>
      <c r="T106" s="9" cm="1" t="str">
        <f t="array" ref="T106">IF(C106="","",SUBSTITUTE(S106,"","")&amp;"%")</f>
        <v/>
      </c>
      <c r="U106" s="12" cm="1" t="str">
        <f t="array" ref="U106">IF(($N106="")*($P106=""),"",IF(($N106&lt;&gt;"")*($N106&gt;TODAY()-9)*($N106&lt;TODAY()+1)*($P106&lt;&gt;"")*($P106&gt;=TODAY())*($P106&lt;=TODAY()+13),"Semaine passée &amp; à venir",IF(($N106&lt;&gt;"")*($N106&gt;TODAY()-9)*($N106&lt;TODAY()+1),"Semaine passée",IF(($P106&lt;&gt;"")*($P106&gt;=TODAY())*($P106&lt;=TODAY()+13),"À venir","Autre"))))</f>
        <v/>
      </c>
      <c r="V106" cm="1" t="n">
        <f t="array" ref="V106">IF(C106&lt;&gt;"",1,0)</f>
        <v>0</v>
      </c>
    </row>
    <row r="107" ht="78.75" customHeight="1">
      <c r="A107" s="17">
</c>
      <c r="B107" s="13">
</c>
      <c r="C107" s="10">
</c>
      <c r="D107" s="18">
</c>
      <c r="E107" s="13">
</c>
      <c r="F107" s="13">
</c>
      <c r="G107" s="12" cm="1" t="str">
        <f t="array" ref="G107">IF(F107="","",SUBSTITUTE(SUBSTITUTE(SUBSTITUTE(SUBSTITUTE(F107,"&lt;li&gt;",CHAR(10)),"&lt;/li&gt;",""),"&lt;br&gt;",CHAR(10)),"&lt;strong&gt;",""))</f>
        <v/>
      </c>
      <c r="H107" s="12" cm="1" t="str">
        <f t="array" ref="H107">IF(G107="","",SUBSTITUTE(SUBSTITUTE(SUBSTITUTE(SUBSTITUTE(SUBSTITUTE(G107,"&lt;p&gt;",""),"&lt;/p&gt;",""),"&lt;ul&gt;",""),"&lt;/ul&gt;",""),"&lt;/strong&gt;",""))</f>
        <v/>
      </c>
      <c r="I107" s="12" cm="1" t="str">
        <f t="array" ref="I107">IF(C107="","",IF(OR(H107="",H107=0,H107=FALSE),"-",H107))</f>
        <v/>
      </c>
      <c r="J107" s="13">
</c>
      <c r="K107" s="13">
</c>
      <c r="L107" s="9" cm="1" t="str">
        <f t="array" ref="L107">IF(C107="","",IF(K107="Mort / Plus rien à faire","KO","OK"))</f>
        <v/>
      </c>
      <c r="M107" s="19">
</c>
      <c r="N107" s="14" cm="1" t="str">
        <f t="array" ref="N107">IF(OR(C107="",M107="",M107=0),"",M107)</f>
        <v/>
      </c>
      <c r="O107" s="19">
</c>
      <c r="P107" s="14" cm="1" t="str">
        <f t="array" ref="P107">IF(C107="","",IF(OR(O107="",O107=0),"-",O107))</f>
        <v/>
      </c>
      <c r="Q107" s="20">
</c>
      <c r="R107" s="9" cm="1" t="str">
        <f t="array" ref="R107">IF(C107="","",ROUND(Q107/1000000,3)&amp;" M€")</f>
        <v/>
      </c>
      <c r="S107" s="21">
</c>
      <c r="T107" s="9" cm="1" t="str">
        <f t="array" ref="T107">IF(C107="","",SUBSTITUTE(S107,"","")&amp;"%")</f>
        <v/>
      </c>
      <c r="U107" s="12" cm="1" t="str">
        <f t="array" ref="U107">IF(($N107="")*($P107=""),"",IF(($N107&lt;&gt;"")*($N107&gt;TODAY()-9)*($N107&lt;TODAY()+1)*($P107&lt;&gt;"")*($P107&gt;=TODAY())*($P107&lt;=TODAY()+13),"Semaine passée &amp; à venir",IF(($N107&lt;&gt;"")*($N107&gt;TODAY()-9)*($N107&lt;TODAY()+1),"Semaine passée",IF(($P107&lt;&gt;"")*($P107&gt;=TODAY())*($P107&lt;=TODAY()+13),"À venir","Autre"))))</f>
        <v/>
      </c>
      <c r="V107" cm="1" t="n">
        <f t="array" ref="V107">IF(C107&lt;&gt;"",1,0)</f>
        <v>0</v>
      </c>
    </row>
    <row r="108" ht="78.75" customHeight="1">
      <c r="A108" s="17">
</c>
      <c r="B108" s="13">
</c>
      <c r="C108" s="10">
</c>
      <c r="D108" s="18">
</c>
      <c r="E108" s="13">
</c>
      <c r="F108" s="13">
</c>
      <c r="G108" s="12" cm="1" t="str">
        <f t="array" ref="G108">IF(F108="","",SUBSTITUTE(SUBSTITUTE(SUBSTITUTE(SUBSTITUTE(F108,"&lt;li&gt;",CHAR(10)),"&lt;/li&gt;",""),"&lt;br&gt;",CHAR(10)),"&lt;strong&gt;",""))</f>
        <v/>
      </c>
      <c r="H108" s="12" cm="1" t="str">
        <f t="array" ref="H108">IF(G108="","",SUBSTITUTE(SUBSTITUTE(SUBSTITUTE(SUBSTITUTE(SUBSTITUTE(G108,"&lt;p&gt;",""),"&lt;/p&gt;",""),"&lt;ul&gt;",""),"&lt;/ul&gt;",""),"&lt;/strong&gt;",""))</f>
        <v/>
      </c>
      <c r="I108" s="12" cm="1" t="str">
        <f t="array" ref="I108">IF(C108="","",IF(OR(H108="",H108=0,H108=FALSE),"-",H108))</f>
        <v/>
      </c>
      <c r="J108" s="13">
</c>
      <c r="K108" s="13">
</c>
      <c r="L108" s="9" cm="1" t="str">
        <f t="array" ref="L108">IF(C108="","",IF(K108="Mort / Plus rien à faire","KO","OK"))</f>
        <v/>
      </c>
      <c r="M108" s="19">
</c>
      <c r="N108" s="14" cm="1" t="str">
        <f t="array" ref="N108">IF(OR(C108="",M108="",M108=0),"",M108)</f>
        <v/>
      </c>
      <c r="O108" s="19">
</c>
      <c r="P108" s="14" cm="1" t="str">
        <f t="array" ref="P108">IF(C108="","",IF(OR(O108="",O108=0),"-",O108))</f>
        <v/>
      </c>
      <c r="Q108" s="20">
</c>
      <c r="R108" s="9" cm="1" t="str">
        <f t="array" ref="R108">IF(C108="","",ROUND(Q108/1000000,3)&amp;" M€")</f>
        <v/>
      </c>
      <c r="S108" s="21">
</c>
      <c r="T108" s="9" cm="1" t="str">
        <f t="array" ref="T108">IF(C108="","",SUBSTITUTE(S108,"","")&amp;"%")</f>
        <v/>
      </c>
      <c r="U108" s="12" cm="1" t="str">
        <f t="array" ref="U108">IF(($N108="")*($P108=""),"",IF(($N108&lt;&gt;"")*($N108&gt;TODAY()-9)*($N108&lt;TODAY()+1)*($P108&lt;&gt;"")*($P108&gt;=TODAY())*($P108&lt;=TODAY()+13),"Semaine passée &amp; à venir",IF(($N108&lt;&gt;"")*($N108&gt;TODAY()-9)*($N108&lt;TODAY()+1),"Semaine passée",IF(($P108&lt;&gt;"")*($P108&gt;=TODAY())*($P108&lt;=TODAY()+13),"À venir","Autre"))))</f>
        <v/>
      </c>
      <c r="V108" cm="1" t="n">
        <f t="array" ref="V108">IF(C108&lt;&gt;"",1,0)</f>
        <v>0</v>
      </c>
    </row>
    <row r="109" ht="78.75" customHeight="1">
      <c r="A109" s="17">
</c>
      <c r="B109" s="13">
</c>
      <c r="C109" s="10">
</c>
      <c r="D109" s="18">
</c>
      <c r="E109" s="13">
</c>
      <c r="F109" s="13">
</c>
      <c r="G109" s="12" cm="1" t="str">
        <f t="array" ref="G109">IF(F109="","",SUBSTITUTE(SUBSTITUTE(SUBSTITUTE(SUBSTITUTE(F109,"&lt;li&gt;",CHAR(10)),"&lt;/li&gt;",""),"&lt;br&gt;",CHAR(10)),"&lt;strong&gt;",""))</f>
        <v/>
      </c>
      <c r="H109" s="12" cm="1" t="str">
        <f t="array" ref="H109">IF(G109="","",SUBSTITUTE(SUBSTITUTE(SUBSTITUTE(SUBSTITUTE(SUBSTITUTE(G109,"&lt;p&gt;",""),"&lt;/p&gt;",""),"&lt;ul&gt;",""),"&lt;/ul&gt;",""),"&lt;/strong&gt;",""))</f>
        <v/>
      </c>
      <c r="I109" s="12" cm="1" t="str">
        <f t="array" ref="I109">IF(C109="","",IF(OR(H109="",H109=0,H109=FALSE),"-",H109))</f>
        <v/>
      </c>
      <c r="J109" s="13">
</c>
      <c r="K109" s="13">
</c>
      <c r="L109" s="9" cm="1" t="str">
        <f t="array" ref="L109">IF(C109="","",IF(K109="Mort / Plus rien à faire","KO","OK"))</f>
        <v/>
      </c>
      <c r="M109" s="19">
</c>
      <c r="N109" s="14" cm="1" t="str">
        <f t="array" ref="N109">IF(OR(C109="",M109="",M109=0),"",M109)</f>
        <v/>
      </c>
      <c r="O109" s="19">
</c>
      <c r="P109" s="14" cm="1" t="str">
        <f t="array" ref="P109">IF(C109="","",IF(OR(O109="",O109=0),"-",O109))</f>
        <v/>
      </c>
      <c r="Q109" s="20">
</c>
      <c r="R109" s="9" cm="1" t="str">
        <f t="array" ref="R109">IF(C109="","",ROUND(Q109/1000000,3)&amp;" M€")</f>
        <v/>
      </c>
      <c r="S109" s="21">
</c>
      <c r="T109" s="9" cm="1" t="str">
        <f t="array" ref="T109">IF(C109="","",SUBSTITUTE(S109,"","")&amp;"%")</f>
        <v/>
      </c>
      <c r="U109" s="12" cm="1" t="str">
        <f t="array" ref="U109">IF(($N109="")*($P109=""),"",IF(($N109&lt;&gt;"")*($N109&gt;TODAY()-9)*($N109&lt;TODAY()+1)*($P109&lt;&gt;"")*($P109&gt;=TODAY())*($P109&lt;=TODAY()+13),"Semaine passée &amp; à venir",IF(($N109&lt;&gt;"")*($N109&gt;TODAY()-9)*($N109&lt;TODAY()+1),"Semaine passée",IF(($P109&lt;&gt;"")*($P109&gt;=TODAY())*($P109&lt;=TODAY()+13),"À venir","Autre"))))</f>
        <v/>
      </c>
      <c r="V109" cm="1" t="n">
        <f t="array" ref="V109">IF(C109&lt;&gt;"",1,0)</f>
        <v>0</v>
      </c>
    </row>
    <row r="110" ht="78.75" customHeight="1">
      <c r="A110" s="17">
</c>
      <c r="B110" s="13">
</c>
      <c r="C110" s="10">
</c>
      <c r="D110" s="18">
</c>
      <c r="E110" s="13">
</c>
      <c r="F110" s="13">
</c>
      <c r="G110" s="12" cm="1" t="str">
        <f t="array" ref="G110">IF(F110="","",SUBSTITUTE(SUBSTITUTE(SUBSTITUTE(SUBSTITUTE(F110,"&lt;li&gt;",CHAR(10)),"&lt;/li&gt;",""),"&lt;br&gt;",CHAR(10)),"&lt;strong&gt;",""))</f>
        <v/>
      </c>
      <c r="H110" s="12" cm="1" t="str">
        <f t="array" ref="H110">IF(G110="","",SUBSTITUTE(SUBSTITUTE(SUBSTITUTE(SUBSTITUTE(SUBSTITUTE(G110,"&lt;p&gt;",""),"&lt;/p&gt;",""),"&lt;ul&gt;",""),"&lt;/ul&gt;",""),"&lt;/strong&gt;",""))</f>
        <v/>
      </c>
      <c r="I110" s="12" cm="1" t="str">
        <f t="array" ref="I110">IF(C110="","",IF(OR(H110="",H110=0,H110=FALSE),"-",H110))</f>
        <v/>
      </c>
      <c r="J110" s="13">
</c>
      <c r="K110" s="13">
</c>
      <c r="L110" s="9" cm="1" t="str">
        <f t="array" ref="L110">IF(C110="","",IF(K110="Mort / Plus rien à faire","KO","OK"))</f>
        <v/>
      </c>
      <c r="M110" s="19">
</c>
      <c r="N110" s="14" cm="1" t="str">
        <f t="array" ref="N110">IF(OR(C110="",M110="",M110=0),"",M110)</f>
        <v/>
      </c>
      <c r="O110" s="19">
</c>
      <c r="P110" s="14" cm="1" t="str">
        <f t="array" ref="P110">IF(C110="","",IF(OR(O110="",O110=0),"-",O110))</f>
        <v/>
      </c>
      <c r="Q110" s="20">
</c>
      <c r="R110" s="9" cm="1" t="str">
        <f t="array" ref="R110">IF(C110="","",ROUND(Q110/1000000,3)&amp;" M€")</f>
        <v/>
      </c>
      <c r="S110" s="21">
</c>
      <c r="T110" s="9" cm="1" t="str">
        <f t="array" ref="T110">IF(C110="","",SUBSTITUTE(S110,"","")&amp;"%")</f>
        <v/>
      </c>
      <c r="U110" s="12" cm="1" t="str">
        <f t="array" ref="U110">IF(($N110="")*($P110=""),"",IF(($N110&lt;&gt;"")*($N110&gt;TODAY()-9)*($N110&lt;TODAY()+1)*($P110&lt;&gt;"")*($P110&gt;=TODAY())*($P110&lt;=TODAY()+13),"Semaine passée &amp; à venir",IF(($N110&lt;&gt;"")*($N110&gt;TODAY()-9)*($N110&lt;TODAY()+1),"Semaine passée",IF(($P110&lt;&gt;"")*($P110&gt;=TODAY())*($P110&lt;=TODAY()+13),"À venir","Autre"))))</f>
        <v/>
      </c>
      <c r="V110" cm="1" t="n">
        <f t="array" ref="V110">IF(C110&lt;&gt;"",1,0)</f>
        <v>0</v>
      </c>
    </row>
    <row r="111" ht="78.75" customHeight="1">
      <c r="A111" s="17">
</c>
      <c r="B111" s="13">
</c>
      <c r="C111" s="10">
</c>
      <c r="D111" s="18">
</c>
      <c r="E111" s="13">
</c>
      <c r="F111" s="13">
</c>
      <c r="G111" s="12" cm="1" t="str">
        <f t="array" ref="G111">IF(F111="","",SUBSTITUTE(SUBSTITUTE(SUBSTITUTE(SUBSTITUTE(F111,"&lt;li&gt;",CHAR(10)),"&lt;/li&gt;",""),"&lt;br&gt;",CHAR(10)),"&lt;strong&gt;",""))</f>
        <v/>
      </c>
      <c r="H111" s="12" cm="1" t="str">
        <f t="array" ref="H111">IF(G111="","",SUBSTITUTE(SUBSTITUTE(SUBSTITUTE(SUBSTITUTE(SUBSTITUTE(G111,"&lt;p&gt;",""),"&lt;/p&gt;",""),"&lt;ul&gt;",""),"&lt;/ul&gt;",""),"&lt;/strong&gt;",""))</f>
        <v/>
      </c>
      <c r="I111" s="12" cm="1" t="str">
        <f t="array" ref="I111">IF(C111="","",IF(OR(H111="",H111=0,H111=FALSE),"-",H111))</f>
        <v/>
      </c>
      <c r="J111" s="13">
</c>
      <c r="K111" s="13">
</c>
      <c r="L111" s="9" cm="1" t="str">
        <f t="array" ref="L111">IF(C111="","",IF(K111="Mort / Plus rien à faire","KO","OK"))</f>
        <v/>
      </c>
      <c r="M111" s="19">
</c>
      <c r="N111" s="14" cm="1" t="str">
        <f t="array" ref="N111">IF(OR(C111="",M111="",M111=0),"",M111)</f>
        <v/>
      </c>
      <c r="O111" s="19">
</c>
      <c r="P111" s="14" cm="1" t="str">
        <f t="array" ref="P111">IF(C111="","",IF(OR(O111="",O111=0),"-",O111))</f>
        <v/>
      </c>
      <c r="Q111" s="20">
</c>
      <c r="R111" s="9" cm="1" t="str">
        <f t="array" ref="R111">IF(C111="","",ROUND(Q111/1000000,3)&amp;" M€")</f>
        <v/>
      </c>
      <c r="S111" s="21">
</c>
      <c r="T111" s="9" cm="1" t="str">
        <f t="array" ref="T111">IF(C111="","",SUBSTITUTE(S111,"","")&amp;"%")</f>
        <v/>
      </c>
      <c r="U111" s="12" cm="1" t="str">
        <f t="array" ref="U111">IF(($N111="")*($P111=""),"",IF(($N111&lt;&gt;"")*($N111&gt;TODAY()-9)*($N111&lt;TODAY()+1)*($P111&lt;&gt;"")*($P111&gt;=TODAY())*($P111&lt;=TODAY()+13),"Semaine passée &amp; à venir",IF(($N111&lt;&gt;"")*($N111&gt;TODAY()-9)*($N111&lt;TODAY()+1),"Semaine passée",IF(($P111&lt;&gt;"")*($P111&gt;=TODAY())*($P111&lt;=TODAY()+13),"À venir","Autre"))))</f>
        <v/>
      </c>
      <c r="V111" cm="1" t="n">
        <f t="array" ref="V111">IF(C111&lt;&gt;"",1,0)</f>
        <v>0</v>
      </c>
    </row>
    <row r="112" ht="78.75" customHeight="1">
      <c r="A112" s="17">
</c>
      <c r="B112" s="13">
</c>
      <c r="C112" s="10">
</c>
      <c r="D112" s="18">
</c>
      <c r="E112" s="13">
</c>
      <c r="F112" s="13">
</c>
      <c r="G112" s="12" cm="1" t="str">
        <f t="array" ref="G112">IF(F112="","",SUBSTITUTE(SUBSTITUTE(SUBSTITUTE(SUBSTITUTE(F112,"&lt;li&gt;",CHAR(10)),"&lt;/li&gt;",""),"&lt;br&gt;",CHAR(10)),"&lt;strong&gt;",""))</f>
        <v/>
      </c>
      <c r="H112" s="12" cm="1" t="str">
        <f t="array" ref="H112">IF(G112="","",SUBSTITUTE(SUBSTITUTE(SUBSTITUTE(SUBSTITUTE(SUBSTITUTE(G112,"&lt;p&gt;",""),"&lt;/p&gt;",""),"&lt;ul&gt;",""),"&lt;/ul&gt;",""),"&lt;/strong&gt;",""))</f>
        <v/>
      </c>
      <c r="I112" s="12" cm="1" t="str">
        <f t="array" ref="I112">IF(C112="","",IF(OR(H112="",H112=0,H112=FALSE),"-",H112))</f>
        <v/>
      </c>
      <c r="J112" s="13">
</c>
      <c r="K112" s="13">
</c>
      <c r="L112" s="9" cm="1" t="str">
        <f t="array" ref="L112">IF(C112="","",IF(K112="Mort / Plus rien à faire","KO","OK"))</f>
        <v/>
      </c>
      <c r="M112" s="19">
</c>
      <c r="N112" s="14" cm="1" t="str">
        <f t="array" ref="N112">IF(OR(C112="",M112="",M112=0),"",M112)</f>
        <v/>
      </c>
      <c r="O112" s="19">
</c>
      <c r="P112" s="14" cm="1" t="str">
        <f t="array" ref="P112">IF(C112="","",IF(OR(O112="",O112=0),"-",O112))</f>
        <v/>
      </c>
      <c r="Q112" s="20">
</c>
      <c r="R112" s="9" cm="1" t="str">
        <f t="array" ref="R112">IF(C112="","",ROUND(Q112/1000000,3)&amp;" M€")</f>
        <v/>
      </c>
      <c r="S112" s="21">
</c>
      <c r="T112" s="9" cm="1" t="str">
        <f t="array" ref="T112">IF(C112="","",SUBSTITUTE(S112,"","")&amp;"%")</f>
        <v/>
      </c>
      <c r="U112" s="12" cm="1" t="str">
        <f t="array" ref="U112">IF(($N112="")*($P112=""),"",IF(($N112&lt;&gt;"")*($N112&gt;TODAY()-9)*($N112&lt;TODAY()+1)*($P112&lt;&gt;"")*($P112&gt;=TODAY())*($P112&lt;=TODAY()+13),"Semaine passée &amp; à venir",IF(($N112&lt;&gt;"")*($N112&gt;TODAY()-9)*($N112&lt;TODAY()+1),"Semaine passée",IF(($P112&lt;&gt;"")*($P112&gt;=TODAY())*($P112&lt;=TODAY()+13),"À venir","Autre"))))</f>
        <v/>
      </c>
      <c r="V112" cm="1" t="n">
        <f t="array" ref="V112">IF(C112&lt;&gt;"",1,0)</f>
        <v>0</v>
      </c>
    </row>
    <row r="113" ht="78.75" customHeight="1">
      <c r="A113" s="17">
</c>
      <c r="B113" s="13">
</c>
      <c r="C113" s="10">
</c>
      <c r="D113" s="18">
</c>
      <c r="E113" s="13">
</c>
      <c r="F113" s="13">
</c>
      <c r="G113" s="12" cm="1" t="str">
        <f t="array" ref="G113">IF(F113="","",SUBSTITUTE(SUBSTITUTE(SUBSTITUTE(SUBSTITUTE(F113,"&lt;li&gt;",CHAR(10)),"&lt;/li&gt;",""),"&lt;br&gt;",CHAR(10)),"&lt;strong&gt;",""))</f>
        <v/>
      </c>
      <c r="H113" s="12" cm="1" t="str">
        <f t="array" ref="H113">IF(G113="","",SUBSTITUTE(SUBSTITUTE(SUBSTITUTE(SUBSTITUTE(SUBSTITUTE(G113,"&lt;p&gt;",""),"&lt;/p&gt;",""),"&lt;ul&gt;",""),"&lt;/ul&gt;",""),"&lt;/strong&gt;",""))</f>
        <v/>
      </c>
      <c r="I113" s="12" cm="1" t="str">
        <f t="array" ref="I113">IF(C113="","",IF(OR(H113="",H113=0,H113=FALSE),"-",H113))</f>
        <v/>
      </c>
      <c r="J113" s="13">
</c>
      <c r="K113" s="13">
</c>
      <c r="L113" s="9" cm="1" t="str">
        <f t="array" ref="L113">IF(C113="","",IF(K113="Mort / Plus rien à faire","KO","OK"))</f>
        <v/>
      </c>
      <c r="M113" s="19">
</c>
      <c r="N113" s="14" cm="1" t="str">
        <f t="array" ref="N113">IF(OR(C113="",M113="",M113=0),"",M113)</f>
        <v/>
      </c>
      <c r="O113" s="19">
</c>
      <c r="P113" s="14" cm="1" t="str">
        <f t="array" ref="P113">IF(C113="","",IF(OR(O113="",O113=0),"-",O113))</f>
        <v/>
      </c>
      <c r="Q113" s="20">
</c>
      <c r="R113" s="9" cm="1" t="str">
        <f t="array" ref="R113">IF(C113="","",ROUND(Q113/1000000,3)&amp;" M€")</f>
        <v/>
      </c>
      <c r="S113" s="21">
</c>
      <c r="T113" s="9" cm="1" t="str">
        <f t="array" ref="T113">IF(C113="","",SUBSTITUTE(S113,"","")&amp;"%")</f>
        <v/>
      </c>
      <c r="U113" s="12" cm="1" t="str">
        <f t="array" ref="U113">IF(($N113="")*($P113=""),"",IF(($N113&lt;&gt;"")*($N113&gt;TODAY()-9)*($N113&lt;TODAY()+1)*($P113&lt;&gt;"")*($P113&gt;=TODAY())*($P113&lt;=TODAY()+13),"Semaine passée &amp; à venir",IF(($N113&lt;&gt;"")*($N113&gt;TODAY()-9)*($N113&lt;TODAY()+1),"Semaine passée",IF(($P113&lt;&gt;"")*($P113&gt;=TODAY())*($P113&lt;=TODAY()+13),"À venir","Autre"))))</f>
        <v/>
      </c>
      <c r="V113" cm="1" t="n">
        <f t="array" ref="V113">IF(C113&lt;&gt;"",1,0)</f>
        <v>0</v>
      </c>
    </row>
    <row r="114" ht="78.75" customHeight="1">
      <c r="A114" s="17">
</c>
      <c r="B114" s="13">
</c>
      <c r="C114" s="10">
</c>
      <c r="D114" s="18">
</c>
      <c r="E114" s="13">
</c>
      <c r="F114" s="13">
</c>
      <c r="G114" s="12" cm="1" t="str">
        <f t="array" ref="G114">IF(F114="","",SUBSTITUTE(SUBSTITUTE(SUBSTITUTE(SUBSTITUTE(F114,"&lt;li&gt;",CHAR(10)),"&lt;/li&gt;",""),"&lt;br&gt;",CHAR(10)),"&lt;strong&gt;",""))</f>
        <v/>
      </c>
      <c r="H114" s="12" cm="1" t="str">
        <f t="array" ref="H114">IF(G114="","",SUBSTITUTE(SUBSTITUTE(SUBSTITUTE(SUBSTITUTE(SUBSTITUTE(G114,"&lt;p&gt;",""),"&lt;/p&gt;",""),"&lt;ul&gt;",""),"&lt;/ul&gt;",""),"&lt;/strong&gt;",""))</f>
        <v/>
      </c>
      <c r="I114" s="12" cm="1" t="str">
        <f t="array" ref="I114">IF(C114="","",IF(OR(H114="",H114=0,H114=FALSE),"-",H114))</f>
        <v/>
      </c>
      <c r="J114" s="13">
</c>
      <c r="K114" s="13">
</c>
      <c r="L114" s="9" cm="1" t="str">
        <f t="array" ref="L114">IF(C114="","",IF(K114="Mort / Plus rien à faire","KO","OK"))</f>
        <v/>
      </c>
      <c r="M114" s="19">
</c>
      <c r="N114" s="14" cm="1" t="str">
        <f t="array" ref="N114">IF(OR(C114="",M114="",M114=0),"",M114)</f>
        <v/>
      </c>
      <c r="O114" s="19">
</c>
      <c r="P114" s="14" cm="1" t="str">
        <f t="array" ref="P114">IF(C114="","",IF(OR(O114="",O114=0),"-",O114))</f>
        <v/>
      </c>
      <c r="Q114" s="20">
</c>
      <c r="R114" s="9" cm="1" t="str">
        <f t="array" ref="R114">IF(C114="","",ROUND(Q114/1000000,3)&amp;" M€")</f>
        <v/>
      </c>
      <c r="S114" s="21">
</c>
      <c r="T114" s="9" cm="1" t="str">
        <f t="array" ref="T114">IF(C114="","",SUBSTITUTE(S114,"","")&amp;"%")</f>
        <v/>
      </c>
      <c r="U114" s="12" cm="1" t="str">
        <f t="array" ref="U114">IF(($N114="")*($P114=""),"",IF(($N114&lt;&gt;"")*($N114&gt;TODAY()-9)*($N114&lt;TODAY()+1)*($P114&lt;&gt;"")*($P114&gt;=TODAY())*($P114&lt;=TODAY()+13),"Semaine passée &amp; à venir",IF(($N114&lt;&gt;"")*($N114&gt;TODAY()-9)*($N114&lt;TODAY()+1),"Semaine passée",IF(($P114&lt;&gt;"")*($P114&gt;=TODAY())*($P114&lt;=TODAY()+13),"À venir","Autre"))))</f>
        <v/>
      </c>
      <c r="V114" cm="1" t="n">
        <f t="array" ref="V114">IF(C114&lt;&gt;"",1,0)</f>
        <v>0</v>
      </c>
    </row>
    <row r="115" ht="78.75" customHeight="1">
      <c r="A115" s="17">
</c>
      <c r="B115" s="13">
</c>
      <c r="C115" s="10">
</c>
      <c r="D115" s="18">
</c>
      <c r="E115" s="13">
</c>
      <c r="F115" s="13">
</c>
      <c r="G115" s="12" cm="1" t="str">
        <f t="array" ref="G115">IF(F115="","",SUBSTITUTE(SUBSTITUTE(SUBSTITUTE(SUBSTITUTE(F115,"&lt;li&gt;",CHAR(10)),"&lt;/li&gt;",""),"&lt;br&gt;",CHAR(10)),"&lt;strong&gt;",""))</f>
        <v/>
      </c>
      <c r="H115" s="12" cm="1" t="str">
        <f t="array" ref="H115">IF(G115="","",SUBSTITUTE(SUBSTITUTE(SUBSTITUTE(SUBSTITUTE(SUBSTITUTE(G115,"&lt;p&gt;",""),"&lt;/p&gt;",""),"&lt;ul&gt;",""),"&lt;/ul&gt;",""),"&lt;/strong&gt;",""))</f>
        <v/>
      </c>
      <c r="I115" s="12" cm="1" t="str">
        <f t="array" ref="I115">IF(C115="","",IF(OR(H115="",H115=0,H115=FALSE),"-",H115))</f>
        <v/>
      </c>
      <c r="J115" s="13">
</c>
      <c r="K115" s="13">
</c>
      <c r="L115" s="9" cm="1" t="str">
        <f t="array" ref="L115">IF(C115="","",IF(K115="Mort / Plus rien à faire","KO","OK"))</f>
        <v/>
      </c>
      <c r="M115" s="19">
</c>
      <c r="N115" s="14" cm="1" t="str">
        <f t="array" ref="N115">IF(OR(C115="",M115="",M115=0),"",M115)</f>
        <v/>
      </c>
      <c r="O115" s="19">
</c>
      <c r="P115" s="14" cm="1" t="str">
        <f t="array" ref="P115">IF(C115="","",IF(OR(O115="",O115=0),"-",O115))</f>
        <v/>
      </c>
      <c r="Q115" s="20">
</c>
      <c r="R115" s="9" cm="1" t="str">
        <f t="array" ref="R115">IF(C115="","",ROUND(Q115/1000000,3)&amp;" M€")</f>
        <v/>
      </c>
      <c r="S115" s="21">
</c>
      <c r="T115" s="9" cm="1" t="str">
        <f t="array" ref="T115">IF(C115="","",SUBSTITUTE(S115,"","")&amp;"%")</f>
        <v/>
      </c>
      <c r="U115" s="12" cm="1" t="str">
        <f t="array" ref="U115">IF(($N115="")*($P115=""),"",IF(($N115&lt;&gt;"")*($N115&gt;TODAY()-9)*($N115&lt;TODAY()+1)*($P115&lt;&gt;"")*($P115&gt;=TODAY())*($P115&lt;=TODAY()+13),"Semaine passée &amp; à venir",IF(($N115&lt;&gt;"")*($N115&gt;TODAY()-9)*($N115&lt;TODAY()+1),"Semaine passée",IF(($P115&lt;&gt;"")*($P115&gt;=TODAY())*($P115&lt;=TODAY()+13),"À venir","Autre"))))</f>
        <v/>
      </c>
      <c r="V115" cm="1" t="n">
        <f t="array" ref="V115">IF(C115&lt;&gt;"",1,0)</f>
        <v>0</v>
      </c>
    </row>
    <row r="116" ht="78.75" customHeight="1">
      <c r="A116" s="17">
</c>
      <c r="B116" s="13">
</c>
      <c r="C116" s="10">
</c>
      <c r="D116" s="18">
</c>
      <c r="E116" s="13">
</c>
      <c r="F116" s="13">
</c>
      <c r="G116" s="12" cm="1" t="str">
        <f t="array" ref="G116">IF(F116="","",SUBSTITUTE(SUBSTITUTE(SUBSTITUTE(SUBSTITUTE(F116,"&lt;li&gt;",CHAR(10)),"&lt;/li&gt;",""),"&lt;br&gt;",CHAR(10)),"&lt;strong&gt;",""))</f>
        <v/>
      </c>
      <c r="H116" s="12" cm="1" t="str">
        <f t="array" ref="H116">IF(G116="","",SUBSTITUTE(SUBSTITUTE(SUBSTITUTE(SUBSTITUTE(SUBSTITUTE(G116,"&lt;p&gt;",""),"&lt;/p&gt;",""),"&lt;ul&gt;",""),"&lt;/ul&gt;",""),"&lt;/strong&gt;",""))</f>
        <v/>
      </c>
      <c r="I116" s="12" cm="1" t="str">
        <f t="array" ref="I116">IF(C116="","",IF(OR(H116="",H116=0,H116=FALSE),"-",H116))</f>
        <v/>
      </c>
      <c r="J116" s="13">
</c>
      <c r="K116" s="13">
</c>
      <c r="L116" s="9" cm="1" t="str">
        <f t="array" ref="L116">IF(C116="","",IF(K116="Mort / Plus rien à faire","KO","OK"))</f>
        <v/>
      </c>
      <c r="M116" s="19">
</c>
      <c r="N116" s="14" cm="1" t="str">
        <f t="array" ref="N116">IF(OR(C116="",M116="",M116=0),"",M116)</f>
        <v/>
      </c>
      <c r="O116" s="19">
</c>
      <c r="P116" s="14" cm="1" t="str">
        <f t="array" ref="P116">IF(C116="","",IF(OR(O116="",O116=0),"-",O116))</f>
        <v/>
      </c>
      <c r="Q116" s="20">
</c>
      <c r="R116" s="9" cm="1" t="str">
        <f t="array" ref="R116">IF(C116="","",ROUND(Q116/1000000,3)&amp;" M€")</f>
        <v/>
      </c>
      <c r="S116" s="21">
</c>
      <c r="T116" s="9" cm="1" t="str">
        <f t="array" ref="T116">IF(C116="","",SUBSTITUTE(S116,"","")&amp;"%")</f>
        <v/>
      </c>
      <c r="U116" s="12" cm="1" t="str">
        <f t="array" ref="U116">IF(($N116="")*($P116=""),"",IF(($N116&lt;&gt;"")*($N116&gt;TODAY()-9)*($N116&lt;TODAY()+1)*($P116&lt;&gt;"")*($P116&gt;=TODAY())*($P116&lt;=TODAY()+13),"Semaine passée &amp; à venir",IF(($N116&lt;&gt;"")*($N116&gt;TODAY()-9)*($N116&lt;TODAY()+1),"Semaine passée",IF(($P116&lt;&gt;"")*($P116&gt;=TODAY())*($P116&lt;=TODAY()+13),"À venir","Autre"))))</f>
        <v/>
      </c>
      <c r="V116" cm="1" t="n">
        <f t="array" ref="V116">IF(C116&lt;&gt;"",1,0)</f>
        <v>0</v>
      </c>
    </row>
    <row r="117" ht="78.75" customHeight="1">
      <c r="A117" s="17">
</c>
      <c r="B117" s="13">
</c>
      <c r="C117" s="10">
</c>
      <c r="D117" s="18">
</c>
      <c r="E117" s="13">
</c>
      <c r="F117" s="13">
</c>
      <c r="G117" s="12" cm="1" t="str">
        <f t="array" ref="G117">IF(F117="","",SUBSTITUTE(SUBSTITUTE(SUBSTITUTE(SUBSTITUTE(F117,"&lt;li&gt;",CHAR(10)),"&lt;/li&gt;",""),"&lt;br&gt;",CHAR(10)),"&lt;strong&gt;",""))</f>
        <v/>
      </c>
      <c r="H117" s="12" cm="1" t="str">
        <f t="array" ref="H117">IF(G117="","",SUBSTITUTE(SUBSTITUTE(SUBSTITUTE(SUBSTITUTE(SUBSTITUTE(G117,"&lt;p&gt;",""),"&lt;/p&gt;",""),"&lt;ul&gt;",""),"&lt;/ul&gt;",""),"&lt;/strong&gt;",""))</f>
        <v/>
      </c>
      <c r="I117" s="12" cm="1" t="str">
        <f t="array" ref="I117">IF(C117="","",IF(OR(H117="",H117=0,H117=FALSE),"-",H117))</f>
        <v/>
      </c>
      <c r="J117" s="13">
</c>
      <c r="K117" s="13">
</c>
      <c r="L117" s="9" cm="1" t="str">
        <f t="array" ref="L117">IF(C117="","",IF(K117="Mort / Plus rien à faire","KO","OK"))</f>
        <v/>
      </c>
      <c r="M117" s="19">
</c>
      <c r="N117" s="14" cm="1" t="str">
        <f t="array" ref="N117">IF(OR(C117="",M117="",M117=0),"",M117)</f>
        <v/>
      </c>
      <c r="O117" s="19">
</c>
      <c r="P117" s="14" cm="1" t="str">
        <f t="array" ref="P117">IF(C117="","",IF(OR(O117="",O117=0),"-",O117))</f>
        <v/>
      </c>
      <c r="Q117" s="20">
</c>
      <c r="R117" s="9" cm="1" t="str">
        <f t="array" ref="R117">IF(C117="","",ROUND(Q117/1000000,3)&amp;" M€")</f>
        <v/>
      </c>
      <c r="S117" s="21">
</c>
      <c r="T117" s="9" cm="1" t="str">
        <f t="array" ref="T117">IF(C117="","",SUBSTITUTE(S117,"","")&amp;"%")</f>
        <v/>
      </c>
      <c r="U117" s="12" cm="1" t="str">
        <f t="array" ref="U117">IF(($N117="")*($P117=""),"",IF(($N117&lt;&gt;"")*($N117&gt;TODAY()-9)*($N117&lt;TODAY()+1)*($P117&lt;&gt;"")*($P117&gt;=TODAY())*($P117&lt;=TODAY()+13),"Semaine passée &amp; à venir",IF(($N117&lt;&gt;"")*($N117&gt;TODAY()-9)*($N117&lt;TODAY()+1),"Semaine passée",IF(($P117&lt;&gt;"")*($P117&gt;=TODAY())*($P117&lt;=TODAY()+13),"À venir","Autre"))))</f>
        <v/>
      </c>
      <c r="V117" cm="1" t="n">
        <f t="array" ref="V117">IF(C117&lt;&gt;"",1,0)</f>
        <v>0</v>
      </c>
    </row>
    <row r="118" ht="78.75" customHeight="1">
      <c r="A118" s="17">
</c>
      <c r="B118" s="13">
</c>
      <c r="C118" s="10">
</c>
      <c r="D118" s="18">
</c>
      <c r="E118" s="13">
</c>
      <c r="F118" s="13">
</c>
      <c r="G118" s="12" cm="1" t="str">
        <f t="array" ref="G118">IF(F118="","",SUBSTITUTE(SUBSTITUTE(SUBSTITUTE(SUBSTITUTE(F118,"&lt;li&gt;",CHAR(10)),"&lt;/li&gt;",""),"&lt;br&gt;",CHAR(10)),"&lt;strong&gt;",""))</f>
        <v/>
      </c>
      <c r="H118" s="12" cm="1" t="str">
        <f t="array" ref="H118">IF(G118="","",SUBSTITUTE(SUBSTITUTE(SUBSTITUTE(SUBSTITUTE(SUBSTITUTE(G118,"&lt;p&gt;",""),"&lt;/p&gt;",""),"&lt;ul&gt;",""),"&lt;/ul&gt;",""),"&lt;/strong&gt;",""))</f>
        <v/>
      </c>
      <c r="I118" s="12" cm="1" t="str">
        <f t="array" ref="I118">IF(C118="","",IF(OR(H118="",H118=0,H118=FALSE),"-",H118))</f>
        <v/>
      </c>
      <c r="J118" s="13">
</c>
      <c r="K118" s="13">
</c>
      <c r="L118" s="9" cm="1" t="str">
        <f t="array" ref="L118">IF(C118="","",IF(K118="Mort / Plus rien à faire","KO","OK"))</f>
        <v/>
      </c>
      <c r="M118" s="19">
</c>
      <c r="N118" s="14" cm="1" t="str">
        <f t="array" ref="N118">IF(OR(C118="",M118="",M118=0),"",M118)</f>
        <v/>
      </c>
      <c r="O118" s="19">
</c>
      <c r="P118" s="14" cm="1" t="str">
        <f t="array" ref="P118">IF(C118="","",IF(OR(O118="",O118=0),"-",O118))</f>
        <v/>
      </c>
      <c r="Q118" s="20">
</c>
      <c r="R118" s="9" cm="1" t="str">
        <f t="array" ref="R118">IF(C118="","",ROUND(Q118/1000000,3)&amp;" M€")</f>
        <v/>
      </c>
      <c r="S118" s="21">
</c>
      <c r="T118" s="9" cm="1" t="str">
        <f t="array" ref="T118">IF(C118="","",SUBSTITUTE(S118,"","")&amp;"%")</f>
        <v/>
      </c>
      <c r="U118" s="12" cm="1" t="str">
        <f t="array" ref="U118">IF(($N118="")*($P118=""),"",IF(($N118&lt;&gt;"")*($N118&gt;TODAY()-9)*($N118&lt;TODAY()+1)*($P118&lt;&gt;"")*($P118&gt;=TODAY())*($P118&lt;=TODAY()+13),"Semaine passée &amp; à venir",IF(($N118&lt;&gt;"")*($N118&gt;TODAY()-9)*($N118&lt;TODAY()+1),"Semaine passée",IF(($P118&lt;&gt;"")*($P118&gt;=TODAY())*($P118&lt;=TODAY()+13),"À venir","Autre"))))</f>
        <v/>
      </c>
      <c r="V118" cm="1" t="n">
        <f t="array" ref="V118">IF(C118&lt;&gt;"",1,0)</f>
        <v>0</v>
      </c>
    </row>
    <row r="119" ht="78.75" customHeight="1">
      <c r="A119" s="17">
</c>
      <c r="B119" s="13">
</c>
      <c r="C119" s="10">
</c>
      <c r="D119" s="18">
</c>
      <c r="E119" s="13">
</c>
      <c r="F119" s="13">
</c>
      <c r="G119" s="12" cm="1" t="str">
        <f t="array" ref="G119">IF(F119="","",SUBSTITUTE(SUBSTITUTE(SUBSTITUTE(SUBSTITUTE(F119,"&lt;li&gt;",CHAR(10)),"&lt;/li&gt;",""),"&lt;br&gt;",CHAR(10)),"&lt;strong&gt;",""))</f>
        <v/>
      </c>
      <c r="H119" s="12" cm="1" t="str">
        <f t="array" ref="H119">IF(G119="","",SUBSTITUTE(SUBSTITUTE(SUBSTITUTE(SUBSTITUTE(SUBSTITUTE(G119,"&lt;p&gt;",""),"&lt;/p&gt;",""),"&lt;ul&gt;",""),"&lt;/ul&gt;",""),"&lt;/strong&gt;",""))</f>
        <v/>
      </c>
      <c r="I119" s="12" cm="1" t="str">
        <f t="array" ref="I119">IF(C119="","",IF(OR(H119="",H119=0,H119=FALSE),"-",H119))</f>
        <v/>
      </c>
      <c r="J119" s="13">
</c>
      <c r="K119" s="13">
</c>
      <c r="L119" s="9" cm="1" t="str">
        <f t="array" ref="L119">IF(C119="","",IF(K119="Mort / Plus rien à faire","KO","OK"))</f>
        <v/>
      </c>
      <c r="M119" s="19">
</c>
      <c r="N119" s="14" cm="1" t="str">
        <f t="array" ref="N119">IF(OR(C119="",M119="",M119=0),"",M119)</f>
        <v/>
      </c>
      <c r="O119" s="19">
</c>
      <c r="P119" s="14" cm="1" t="str">
        <f t="array" ref="P119">IF(C119="","",IF(OR(O119="",O119=0),"-",O119))</f>
        <v/>
      </c>
      <c r="Q119" s="20">
</c>
      <c r="R119" s="9" cm="1" t="str">
        <f t="array" ref="R119">IF(C119="","",ROUND(Q119/1000000,3)&amp;" M€")</f>
        <v/>
      </c>
      <c r="S119" s="21">
</c>
      <c r="T119" s="9" cm="1" t="str">
        <f t="array" ref="T119">IF(C119="","",SUBSTITUTE(S119,"","")&amp;"%")</f>
        <v/>
      </c>
      <c r="U119" s="12" cm="1" t="str">
        <f t="array" ref="U119">IF(($N119="")*($P119=""),"",IF(($N119&lt;&gt;"")*($N119&gt;TODAY()-9)*($N119&lt;TODAY()+1)*($P119&lt;&gt;"")*($P119&gt;=TODAY())*($P119&lt;=TODAY()+13),"Semaine passée &amp; à venir",IF(($N119&lt;&gt;"")*($N119&gt;TODAY()-9)*($N119&lt;TODAY()+1),"Semaine passée",IF(($P119&lt;&gt;"")*($P119&gt;=TODAY())*($P119&lt;=TODAY()+13),"À venir","Autre"))))</f>
        <v/>
      </c>
      <c r="V119" cm="1" t="n">
        <f t="array" ref="V119">IF(C119&lt;&gt;"",1,0)</f>
        <v>0</v>
      </c>
    </row>
    <row r="120" ht="78.75" customHeight="1">
      <c r="A120" s="17">
</c>
      <c r="B120" s="13">
</c>
      <c r="C120" s="10">
</c>
      <c r="D120" s="18">
</c>
      <c r="E120" s="13">
</c>
      <c r="F120" s="13">
</c>
      <c r="G120" s="12" cm="1" t="str">
        <f t="array" ref="G120">IF(F120="","",SUBSTITUTE(SUBSTITUTE(SUBSTITUTE(SUBSTITUTE(F120,"&lt;li&gt;",CHAR(10)),"&lt;/li&gt;",""),"&lt;br&gt;",CHAR(10)),"&lt;strong&gt;",""))</f>
        <v/>
      </c>
      <c r="H120" s="12" cm="1" t="str">
        <f t="array" ref="H120">IF(G120="","",SUBSTITUTE(SUBSTITUTE(SUBSTITUTE(SUBSTITUTE(SUBSTITUTE(G120,"&lt;p&gt;",""),"&lt;/p&gt;",""),"&lt;ul&gt;",""),"&lt;/ul&gt;",""),"&lt;/strong&gt;",""))</f>
        <v/>
      </c>
      <c r="I120" s="12" cm="1" t="str">
        <f t="array" ref="I120">IF(C120="","",IF(OR(H120="",H120=0,H120=FALSE),"-",H120))</f>
        <v/>
      </c>
      <c r="J120" s="13">
</c>
      <c r="K120" s="13">
</c>
      <c r="L120" s="9" cm="1" t="str">
        <f t="array" ref="L120">IF(C120="","",IF(K120="Mort / Plus rien à faire","KO","OK"))</f>
        <v/>
      </c>
      <c r="M120" s="19">
</c>
      <c r="N120" s="14" cm="1" t="str">
        <f t="array" ref="N120">IF(OR(C120="",M120="",M120=0),"",M120)</f>
        <v/>
      </c>
      <c r="O120" s="19">
</c>
      <c r="P120" s="14" cm="1" t="str">
        <f t="array" ref="P120">IF(C120="","",IF(OR(O120="",O120=0),"-",O120))</f>
        <v/>
      </c>
      <c r="Q120" s="20">
</c>
      <c r="R120" s="9" cm="1" t="str">
        <f t="array" ref="R120">IF(C120="","",ROUND(Q120/1000000,3)&amp;" M€")</f>
        <v/>
      </c>
      <c r="S120" s="21">
</c>
      <c r="T120" s="9" cm="1" t="str">
        <f t="array" ref="T120">IF(C120="","",SUBSTITUTE(S120,"","")&amp;"%")</f>
        <v/>
      </c>
      <c r="U120" s="12" cm="1" t="str">
        <f t="array" ref="U120">IF(($N120="")*($P120=""),"",IF(($N120&lt;&gt;"")*($N120&gt;TODAY()-9)*($N120&lt;TODAY()+1)*($P120&lt;&gt;"")*($P120&gt;=TODAY())*($P120&lt;=TODAY()+13),"Semaine passée &amp; à venir",IF(($N120&lt;&gt;"")*($N120&gt;TODAY()-9)*($N120&lt;TODAY()+1),"Semaine passée",IF(($P120&lt;&gt;"")*($P120&gt;=TODAY())*($P120&lt;=TODAY()+13),"À venir","Autre"))))</f>
        <v/>
      </c>
      <c r="V120" cm="1" t="n">
        <f t="array" ref="V120">IF(C120&lt;&gt;"",1,0)</f>
        <v>0</v>
      </c>
    </row>
    <row r="121" ht="78.75" customHeight="1">
      <c r="A121" s="17">
</c>
      <c r="B121" s="13">
</c>
      <c r="C121" s="10">
</c>
      <c r="D121" s="18">
</c>
      <c r="E121" s="13">
</c>
      <c r="F121" s="13">
</c>
      <c r="G121" s="12" cm="1" t="str">
        <f t="array" ref="G121">IF(F121="","",SUBSTITUTE(SUBSTITUTE(SUBSTITUTE(SUBSTITUTE(F121,"&lt;li&gt;",CHAR(10)),"&lt;/li&gt;",""),"&lt;br&gt;",CHAR(10)),"&lt;strong&gt;",""))</f>
        <v/>
      </c>
      <c r="H121" s="12" cm="1" t="str">
        <f t="array" ref="H121">IF(G121="","",SUBSTITUTE(SUBSTITUTE(SUBSTITUTE(SUBSTITUTE(SUBSTITUTE(G121,"&lt;p&gt;",""),"&lt;/p&gt;",""),"&lt;ul&gt;",""),"&lt;/ul&gt;",""),"&lt;/strong&gt;",""))</f>
        <v/>
      </c>
      <c r="I121" s="12" cm="1" t="str">
        <f t="array" ref="I121">IF(C121="","",IF(OR(H121="",H121=0,H121=FALSE),"-",H121))</f>
        <v/>
      </c>
      <c r="J121" s="13">
</c>
      <c r="K121" s="13">
</c>
      <c r="L121" s="9" cm="1" t="str">
        <f t="array" ref="L121">IF(C121="","",IF(K121="Mort / Plus rien à faire","KO","OK"))</f>
        <v/>
      </c>
      <c r="M121" s="19">
</c>
      <c r="N121" s="14" cm="1" t="str">
        <f t="array" ref="N121">IF(OR(C121="",M121="",M121=0),"",M121)</f>
        <v/>
      </c>
      <c r="O121" s="19">
</c>
      <c r="P121" s="14" cm="1" t="str">
        <f t="array" ref="P121">IF(C121="","",IF(OR(O121="",O121=0),"-",O121))</f>
        <v/>
      </c>
      <c r="Q121" s="20">
</c>
      <c r="R121" s="9" cm="1" t="str">
        <f t="array" ref="R121">IF(C121="","",ROUND(Q121/1000000,3)&amp;" M€")</f>
        <v/>
      </c>
      <c r="S121" s="21">
</c>
      <c r="T121" s="9" cm="1" t="str">
        <f t="array" ref="T121">IF(C121="","",SUBSTITUTE(S121,"","")&amp;"%")</f>
        <v/>
      </c>
      <c r="U121" s="12" cm="1" t="str">
        <f t="array" ref="U121">IF(($N121="")*($P121=""),"",IF(($N121&lt;&gt;"")*($N121&gt;TODAY()-9)*($N121&lt;TODAY()+1)*($P121&lt;&gt;"")*($P121&gt;=TODAY())*($P121&lt;=TODAY()+13),"Semaine passée &amp; à venir",IF(($N121&lt;&gt;"")*($N121&gt;TODAY()-9)*($N121&lt;TODAY()+1),"Semaine passée",IF(($P121&lt;&gt;"")*($P121&gt;=TODAY())*($P121&lt;=TODAY()+13),"À venir","Autre"))))</f>
        <v/>
      </c>
      <c r="V121" cm="1" t="n">
        <f t="array" ref="V121">IF(C121&lt;&gt;"",1,0)</f>
        <v>0</v>
      </c>
    </row>
    <row r="122" ht="78.75" customHeight="1">
      <c r="A122" s="17">
</c>
      <c r="B122" s="13">
</c>
      <c r="C122" s="10">
</c>
      <c r="D122" s="18">
</c>
      <c r="E122" s="13">
</c>
      <c r="F122" s="13">
</c>
      <c r="G122" s="12" cm="1" t="str">
        <f t="array" ref="G122">IF(F122="","",SUBSTITUTE(SUBSTITUTE(SUBSTITUTE(SUBSTITUTE(F122,"&lt;li&gt;",CHAR(10)),"&lt;/li&gt;",""),"&lt;br&gt;",CHAR(10)),"&lt;strong&gt;",""))</f>
        <v/>
      </c>
      <c r="H122" s="12" cm="1" t="str">
        <f t="array" ref="H122">IF(G122="","",SUBSTITUTE(SUBSTITUTE(SUBSTITUTE(SUBSTITUTE(SUBSTITUTE(G122,"&lt;p&gt;",""),"&lt;/p&gt;",""),"&lt;ul&gt;",""),"&lt;/ul&gt;",""),"&lt;/strong&gt;",""))</f>
        <v/>
      </c>
      <c r="I122" s="12" cm="1" t="str">
        <f t="array" ref="I122">IF(C122="","",IF(OR(H122="",H122=0,H122=FALSE),"-",H122))</f>
        <v/>
      </c>
      <c r="J122" s="13">
</c>
      <c r="K122" s="13">
</c>
      <c r="L122" s="9" cm="1" t="str">
        <f t="array" ref="L122">IF(C122="","",IF(K122="Mort / Plus rien à faire","KO","OK"))</f>
        <v/>
      </c>
      <c r="M122" s="19">
</c>
      <c r="N122" s="14" cm="1" t="str">
        <f t="array" ref="N122">IF(OR(C122="",M122="",M122=0),"",M122)</f>
        <v/>
      </c>
      <c r="O122" s="19">
</c>
      <c r="P122" s="14" cm="1" t="str">
        <f t="array" ref="P122">IF(C122="","",IF(OR(O122="",O122=0),"-",O122))</f>
        <v/>
      </c>
      <c r="Q122" s="20">
</c>
      <c r="R122" s="9" cm="1" t="str">
        <f t="array" ref="R122">IF(C122="","",ROUND(Q122/1000000,3)&amp;" M€")</f>
        <v/>
      </c>
      <c r="S122" s="21">
</c>
      <c r="T122" s="9" cm="1" t="str">
        <f t="array" ref="T122">IF(C122="","",SUBSTITUTE(S122,"","")&amp;"%")</f>
        <v/>
      </c>
      <c r="U122" s="12" cm="1" t="str">
        <f t="array" ref="U122">IF(($N122="")*($P122=""),"",IF(($N122&lt;&gt;"")*($N122&gt;TODAY()-9)*($N122&lt;TODAY()+1)*($P122&lt;&gt;"")*($P122&gt;=TODAY())*($P122&lt;=TODAY()+13),"Semaine passée &amp; à venir",IF(($N122&lt;&gt;"")*($N122&gt;TODAY()-9)*($N122&lt;TODAY()+1),"Semaine passée",IF(($P122&lt;&gt;"")*($P122&gt;=TODAY())*($P122&lt;=TODAY()+13),"À venir","Autre"))))</f>
        <v/>
      </c>
      <c r="V122" cm="1" t="n">
        <f t="array" ref="V122">IF(C122&lt;&gt;"",1,0)</f>
        <v>0</v>
      </c>
    </row>
    <row r="123" ht="78.75" customHeight="1">
      <c r="A123" s="17">
</c>
      <c r="B123" s="13">
</c>
      <c r="C123" s="10">
</c>
      <c r="D123" s="18">
</c>
      <c r="E123" s="13">
</c>
      <c r="F123" s="13">
</c>
      <c r="G123" s="12" cm="1" t="str">
        <f t="array" ref="G123">IF(F123="","",SUBSTITUTE(SUBSTITUTE(SUBSTITUTE(SUBSTITUTE(F123,"&lt;li&gt;",CHAR(10)),"&lt;/li&gt;",""),"&lt;br&gt;",CHAR(10)),"&lt;strong&gt;",""))</f>
        <v/>
      </c>
      <c r="H123" s="12" cm="1" t="str">
        <f t="array" ref="H123">IF(G123="","",SUBSTITUTE(SUBSTITUTE(SUBSTITUTE(SUBSTITUTE(SUBSTITUTE(G123,"&lt;p&gt;",""),"&lt;/p&gt;",""),"&lt;ul&gt;",""),"&lt;/ul&gt;",""),"&lt;/strong&gt;",""))</f>
        <v/>
      </c>
      <c r="I123" s="12" cm="1" t="str">
        <f t="array" ref="I123">IF(C123="","",IF(OR(H123="",H123=0,H123=FALSE),"-",H123))</f>
        <v/>
      </c>
      <c r="J123" s="13">
</c>
      <c r="K123" s="13">
</c>
      <c r="L123" s="9" cm="1" t="str">
        <f t="array" ref="L123">IF(C123="","",IF(K123="Mort / Plus rien à faire","KO","OK"))</f>
        <v/>
      </c>
      <c r="M123" s="19">
</c>
      <c r="N123" s="14" cm="1" t="str">
        <f t="array" ref="N123">IF(OR(C123="",M123="",M123=0),"",M123)</f>
        <v/>
      </c>
      <c r="O123" s="19">
</c>
      <c r="P123" s="14" cm="1" t="str">
        <f t="array" ref="P123">IF(C123="","",IF(OR(O123="",O123=0),"-",O123))</f>
        <v/>
      </c>
      <c r="Q123" s="20">
</c>
      <c r="R123" s="9" cm="1" t="str">
        <f t="array" ref="R123">IF(C123="","",ROUND(Q123/1000000,3)&amp;" M€")</f>
        <v/>
      </c>
      <c r="S123" s="21">
</c>
      <c r="T123" s="9" cm="1" t="str">
        <f t="array" ref="T123">IF(C123="","",SUBSTITUTE(S123,"","")&amp;"%")</f>
        <v/>
      </c>
      <c r="U123" s="12" cm="1" t="str">
        <f t="array" ref="U123">IF(($N123="")*($P123=""),"",IF(($N123&lt;&gt;"")*($N123&gt;TODAY()-9)*($N123&lt;TODAY()+1)*($P123&lt;&gt;"")*($P123&gt;=TODAY())*($P123&lt;=TODAY()+13),"Semaine passée &amp; à venir",IF(($N123&lt;&gt;"")*($N123&gt;TODAY()-9)*($N123&lt;TODAY()+1),"Semaine passée",IF(($P123&lt;&gt;"")*($P123&gt;=TODAY())*($P123&lt;=TODAY()+13),"À venir","Autre"))))</f>
        <v/>
      </c>
      <c r="V123" cm="1" t="n">
        <f t="array" ref="V123">IF(C123&lt;&gt;"",1,0)</f>
        <v>0</v>
      </c>
    </row>
    <row r="124" ht="78.75" customHeight="1">
      <c r="A124" s="17">
</c>
      <c r="B124" s="13">
</c>
      <c r="C124" s="10">
</c>
      <c r="D124" s="18">
</c>
      <c r="E124" s="13">
</c>
      <c r="F124" s="13">
</c>
      <c r="G124" s="12" cm="1" t="str">
        <f t="array" ref="G124">IF(F124="","",SUBSTITUTE(SUBSTITUTE(SUBSTITUTE(SUBSTITUTE(F124,"&lt;li&gt;",CHAR(10)),"&lt;/li&gt;",""),"&lt;br&gt;",CHAR(10)),"&lt;strong&gt;",""))</f>
        <v/>
      </c>
      <c r="H124" s="12" cm="1" t="str">
        <f t="array" ref="H124">IF(G124="","",SUBSTITUTE(SUBSTITUTE(SUBSTITUTE(SUBSTITUTE(SUBSTITUTE(G124,"&lt;p&gt;",""),"&lt;/p&gt;",""),"&lt;ul&gt;",""),"&lt;/ul&gt;",""),"&lt;/strong&gt;",""))</f>
        <v/>
      </c>
      <c r="I124" s="12" cm="1" t="str">
        <f t="array" ref="I124">IF(C124="","",IF(OR(H124="",H124=0,H124=FALSE),"-",H124))</f>
        <v/>
      </c>
      <c r="J124" s="13">
</c>
      <c r="K124" s="13">
</c>
      <c r="L124" s="9" cm="1" t="str">
        <f t="array" ref="L124">IF(C124="","",IF(K124="Mort / Plus rien à faire","KO","OK"))</f>
        <v/>
      </c>
      <c r="M124" s="19">
</c>
      <c r="N124" s="14" cm="1" t="str">
        <f t="array" ref="N124">IF(OR(C124="",M124="",M124=0),"",M124)</f>
        <v/>
      </c>
      <c r="O124" s="19">
</c>
      <c r="P124" s="14" cm="1" t="str">
        <f t="array" ref="P124">IF(C124="","",IF(OR(O124="",O124=0),"-",O124))</f>
        <v/>
      </c>
      <c r="Q124" s="20">
</c>
      <c r="R124" s="9" cm="1" t="str">
        <f t="array" ref="R124">IF(C124="","",ROUND(Q124/1000000,3)&amp;" M€")</f>
        <v/>
      </c>
      <c r="S124" s="21">
</c>
      <c r="T124" s="9" cm="1" t="str">
        <f t="array" ref="T124">IF(C124="","",SUBSTITUTE(S124,"","")&amp;"%")</f>
        <v/>
      </c>
      <c r="U124" s="12" cm="1" t="str">
        <f t="array" ref="U124">IF(($N124="")*($P124=""),"",IF(($N124&lt;&gt;"")*($N124&gt;TODAY()-9)*($N124&lt;TODAY()+1)*($P124&lt;&gt;"")*($P124&gt;=TODAY())*($P124&lt;=TODAY()+13),"Semaine passée &amp; à venir",IF(($N124&lt;&gt;"")*($N124&gt;TODAY()-9)*($N124&lt;TODAY()+1),"Semaine passée",IF(($P124&lt;&gt;"")*($P124&gt;=TODAY())*($P124&lt;=TODAY()+13),"À venir","Autre"))))</f>
        <v/>
      </c>
      <c r="V124" cm="1" t="n">
        <f t="array" ref="V124">IF(C124&lt;&gt;"",1,0)</f>
        <v>0</v>
      </c>
    </row>
    <row r="125" ht="78.75" customHeight="1">
      <c r="A125" s="17">
</c>
      <c r="B125" s="13">
</c>
      <c r="C125" s="10">
</c>
      <c r="D125" s="18">
</c>
      <c r="E125" s="13">
</c>
      <c r="F125" s="13">
</c>
      <c r="G125" s="12" cm="1" t="str">
        <f t="array" ref="G125">IF(F125="","",SUBSTITUTE(SUBSTITUTE(SUBSTITUTE(SUBSTITUTE(F125,"&lt;li&gt;",CHAR(10)),"&lt;/li&gt;",""),"&lt;br&gt;",CHAR(10)),"&lt;strong&gt;",""))</f>
        <v/>
      </c>
      <c r="H125" s="12" cm="1" t="str">
        <f t="array" ref="H125">IF(G125="","",SUBSTITUTE(SUBSTITUTE(SUBSTITUTE(SUBSTITUTE(SUBSTITUTE(G125,"&lt;p&gt;",""),"&lt;/p&gt;",""),"&lt;ul&gt;",""),"&lt;/ul&gt;",""),"&lt;/strong&gt;",""))</f>
        <v/>
      </c>
      <c r="I125" s="12" cm="1" t="str">
        <f t="array" ref="I125">IF(C125="","",IF(OR(H125="",H125=0,H125=FALSE),"-",H125))</f>
        <v/>
      </c>
      <c r="J125" s="13">
</c>
      <c r="K125" s="13">
</c>
      <c r="L125" s="9" cm="1" t="str">
        <f t="array" ref="L125">IF(C125="","",IF(K125="Mort / Plus rien à faire","KO","OK"))</f>
        <v/>
      </c>
      <c r="M125" s="19">
</c>
      <c r="N125" s="14" cm="1" t="str">
        <f t="array" ref="N125">IF(OR(C125="",M125="",M125=0),"",M125)</f>
        <v/>
      </c>
      <c r="O125" s="19">
</c>
      <c r="P125" s="14" cm="1" t="str">
        <f t="array" ref="P125">IF(C125="","",IF(OR(O125="",O125=0),"-",O125))</f>
        <v/>
      </c>
      <c r="Q125" s="20">
</c>
      <c r="R125" s="9" cm="1" t="str">
        <f t="array" ref="R125">IF(C125="","",ROUND(Q125/1000000,3)&amp;" M€")</f>
        <v/>
      </c>
      <c r="S125" s="21">
</c>
      <c r="T125" s="9" cm="1" t="str">
        <f t="array" ref="T125">IF(C125="","",SUBSTITUTE(S125,"","")&amp;"%")</f>
        <v/>
      </c>
      <c r="U125" s="12" cm="1" t="str">
        <f t="array" ref="U125">IF(($N125="")*($P125=""),"",IF(($N125&lt;&gt;"")*($N125&gt;TODAY()-9)*($N125&lt;TODAY()+1)*($P125&lt;&gt;"")*($P125&gt;=TODAY())*($P125&lt;=TODAY()+13),"Semaine passée &amp; à venir",IF(($N125&lt;&gt;"")*($N125&gt;TODAY()-9)*($N125&lt;TODAY()+1),"Semaine passée",IF(($P125&lt;&gt;"")*($P125&gt;=TODAY())*($P125&lt;=TODAY()+13),"À venir","Autre"))))</f>
        <v/>
      </c>
      <c r="V125" cm="1" t="n">
        <f t="array" ref="V125">IF(C125&lt;&gt;"",1,0)</f>
        <v>0</v>
      </c>
    </row>
    <row r="126" ht="78.75" customHeight="1">
      <c r="A126" s="17">
</c>
      <c r="B126" s="13">
</c>
      <c r="C126" s="10">
</c>
      <c r="D126" s="18">
</c>
      <c r="E126" s="13">
</c>
      <c r="F126" s="13">
</c>
      <c r="G126" s="12" cm="1" t="str">
        <f t="array" ref="G126">IF(F126="","",SUBSTITUTE(SUBSTITUTE(SUBSTITUTE(SUBSTITUTE(F126,"&lt;li&gt;",CHAR(10)),"&lt;/li&gt;",""),"&lt;br&gt;",CHAR(10)),"&lt;strong&gt;",""))</f>
        <v/>
      </c>
      <c r="H126" s="12" cm="1" t="str">
        <f t="array" ref="H126">IF(G126="","",SUBSTITUTE(SUBSTITUTE(SUBSTITUTE(SUBSTITUTE(SUBSTITUTE(G126,"&lt;p&gt;",""),"&lt;/p&gt;",""),"&lt;ul&gt;",""),"&lt;/ul&gt;",""),"&lt;/strong&gt;",""))</f>
        <v/>
      </c>
      <c r="I126" s="12" cm="1" t="str">
        <f t="array" ref="I126">IF(C126="","",IF(OR(H126="",H126=0,H126=FALSE),"-",H126))</f>
        <v/>
      </c>
      <c r="J126" s="13">
</c>
      <c r="K126" s="13">
</c>
      <c r="L126" s="9" cm="1" t="str">
        <f t="array" ref="L126">IF(C126="","",IF(K126="Mort / Plus rien à faire","KO","OK"))</f>
        <v/>
      </c>
      <c r="M126" s="19">
</c>
      <c r="N126" s="14" cm="1" t="str">
        <f t="array" ref="N126">IF(OR(C126="",M126="",M126=0),"",M126)</f>
        <v/>
      </c>
      <c r="O126" s="19">
</c>
      <c r="P126" s="14" cm="1" t="str">
        <f t="array" ref="P126">IF(C126="","",IF(OR(O126="",O126=0),"-",O126))</f>
        <v/>
      </c>
      <c r="Q126" s="20">
</c>
      <c r="R126" s="9" cm="1" t="str">
        <f t="array" ref="R126">IF(C126="","",ROUND(Q126/1000000,3)&amp;" M€")</f>
        <v/>
      </c>
      <c r="S126" s="21">
</c>
      <c r="T126" s="9" cm="1" t="str">
        <f t="array" ref="T126">IF(C126="","",SUBSTITUTE(S126,"","")&amp;"%")</f>
        <v/>
      </c>
      <c r="U126" s="12" cm="1" t="str">
        <f t="array" ref="U126">IF(($N126="")*($P126=""),"",IF(($N126&lt;&gt;"")*($N126&gt;TODAY()-9)*($N126&lt;TODAY()+1)*($P126&lt;&gt;"")*($P126&gt;=TODAY())*($P126&lt;=TODAY()+13),"Semaine passée &amp; à venir",IF(($N126&lt;&gt;"")*($N126&gt;TODAY()-9)*($N126&lt;TODAY()+1),"Semaine passée",IF(($P126&lt;&gt;"")*($P126&gt;=TODAY())*($P126&lt;=TODAY()+13),"À venir","Autre"))))</f>
        <v/>
      </c>
      <c r="V126" cm="1" t="n">
        <f t="array" ref="V126">IF(C126&lt;&gt;"",1,0)</f>
        <v>0</v>
      </c>
    </row>
    <row r="127" ht="78.75" customHeight="1">
      <c r="A127" s="17">
</c>
      <c r="B127" s="13">
</c>
      <c r="C127" s="10">
</c>
      <c r="D127" s="18">
</c>
      <c r="E127" s="13">
</c>
      <c r="F127" s="13">
</c>
      <c r="G127" s="12" cm="1" t="str">
        <f t="array" ref="G127">IF(F127="","",SUBSTITUTE(SUBSTITUTE(SUBSTITUTE(SUBSTITUTE(F127,"&lt;li&gt;",CHAR(10)),"&lt;/li&gt;",""),"&lt;br&gt;",CHAR(10)),"&lt;strong&gt;",""))</f>
        <v/>
      </c>
      <c r="H127" s="12" cm="1" t="str">
        <f t="array" ref="H127">IF(G127="","",SUBSTITUTE(SUBSTITUTE(SUBSTITUTE(SUBSTITUTE(SUBSTITUTE(G127,"&lt;p&gt;",""),"&lt;/p&gt;",""),"&lt;ul&gt;",""),"&lt;/ul&gt;",""),"&lt;/strong&gt;",""))</f>
        <v/>
      </c>
      <c r="I127" s="12" cm="1" t="str">
        <f t="array" ref="I127">IF(C127="","",IF(OR(H127="",H127=0,H127=FALSE),"-",H127))</f>
        <v/>
      </c>
      <c r="J127" s="13">
</c>
      <c r="K127" s="13">
</c>
      <c r="L127" s="9" cm="1" t="str">
        <f t="array" ref="L127">IF(C127="","",IF(K127="Mort / Plus rien à faire","KO","OK"))</f>
        <v/>
      </c>
      <c r="M127" s="19">
</c>
      <c r="N127" s="14" cm="1" t="str">
        <f t="array" ref="N127">IF(OR(C127="",M127="",M127=0),"",M127)</f>
        <v/>
      </c>
      <c r="O127" s="19">
</c>
      <c r="P127" s="14" cm="1" t="str">
        <f t="array" ref="P127">IF(C127="","",IF(OR(O127="",O127=0),"-",O127))</f>
        <v/>
      </c>
      <c r="Q127" s="20">
</c>
      <c r="R127" s="9" cm="1" t="str">
        <f t="array" ref="R127">IF(C127="","",ROUND(Q127/1000000,3)&amp;" M€")</f>
        <v/>
      </c>
      <c r="S127" s="21">
</c>
      <c r="T127" s="9" cm="1" t="str">
        <f t="array" ref="T127">IF(C127="","",SUBSTITUTE(S127,"","")&amp;"%")</f>
        <v/>
      </c>
      <c r="U127" s="12" cm="1" t="str">
        <f t="array" ref="U127">IF(($N127="")*($P127=""),"",IF(($N127&lt;&gt;"")*($N127&gt;TODAY()-9)*($N127&lt;TODAY()+1)*($P127&lt;&gt;"")*($P127&gt;=TODAY())*($P127&lt;=TODAY()+13),"Semaine passée &amp; à venir",IF(($N127&lt;&gt;"")*($N127&gt;TODAY()-9)*($N127&lt;TODAY()+1),"Semaine passée",IF(($P127&lt;&gt;"")*($P127&gt;=TODAY())*($P127&lt;=TODAY()+13),"À venir","Autre"))))</f>
        <v/>
      </c>
      <c r="V127" cm="1" t="n">
        <f t="array" ref="V127">IF(C127&lt;&gt;"",1,0)</f>
        <v>0</v>
      </c>
    </row>
    <row r="128" ht="78.75" customHeight="1">
      <c r="A128" s="17">
</c>
      <c r="B128" s="13">
</c>
      <c r="C128" s="10">
</c>
      <c r="D128" s="18">
</c>
      <c r="E128" s="13">
</c>
      <c r="F128" s="13">
</c>
      <c r="G128" s="12" cm="1" t="str">
        <f t="array" ref="G128">IF(F128="","",SUBSTITUTE(SUBSTITUTE(SUBSTITUTE(SUBSTITUTE(F128,"&lt;li&gt;",CHAR(10)),"&lt;/li&gt;",""),"&lt;br&gt;",CHAR(10)),"&lt;strong&gt;",""))</f>
        <v/>
      </c>
      <c r="H128" s="12" cm="1" t="str">
        <f t="array" ref="H128">IF(G128="","",SUBSTITUTE(SUBSTITUTE(SUBSTITUTE(SUBSTITUTE(SUBSTITUTE(G128,"&lt;p&gt;",""),"&lt;/p&gt;",""),"&lt;ul&gt;",""),"&lt;/ul&gt;",""),"&lt;/strong&gt;",""))</f>
        <v/>
      </c>
      <c r="I128" s="12" cm="1" t="str">
        <f t="array" ref="I128">IF(C128="","",IF(OR(H128="",H128=0,H128=FALSE),"-",H128))</f>
        <v/>
      </c>
      <c r="J128" s="13">
</c>
      <c r="K128" s="13">
</c>
      <c r="L128" s="9" cm="1" t="str">
        <f t="array" ref="L128">IF(C128="","",IF(K128="Mort / Plus rien à faire","KO","OK"))</f>
        <v/>
      </c>
      <c r="M128" s="19">
</c>
      <c r="N128" s="14" cm="1" t="str">
        <f t="array" ref="N128">IF(OR(C128="",M128="",M128=0),"",M128)</f>
        <v/>
      </c>
      <c r="O128" s="19">
</c>
      <c r="P128" s="14" cm="1" t="str">
        <f t="array" ref="P128">IF(C128="","",IF(OR(O128="",O128=0),"-",O128))</f>
        <v/>
      </c>
      <c r="Q128" s="20">
</c>
      <c r="R128" s="9" cm="1" t="str">
        <f t="array" ref="R128">IF(C128="","",ROUND(Q128/1000000,3)&amp;" M€")</f>
        <v/>
      </c>
      <c r="S128" s="21">
</c>
      <c r="T128" s="9" cm="1" t="str">
        <f t="array" ref="T128">IF(C128="","",SUBSTITUTE(S128,"","")&amp;"%")</f>
        <v/>
      </c>
      <c r="U128" s="12" cm="1" t="str">
        <f t="array" ref="U128">IF(($N128="")*($P128=""),"",IF(($N128&lt;&gt;"")*($N128&gt;TODAY()-9)*($N128&lt;TODAY()+1)*($P128&lt;&gt;"")*($P128&gt;=TODAY())*($P128&lt;=TODAY()+13),"Semaine passée &amp; à venir",IF(($N128&lt;&gt;"")*($N128&gt;TODAY()-9)*($N128&lt;TODAY()+1),"Semaine passée",IF(($P128&lt;&gt;"")*($P128&gt;=TODAY())*($P128&lt;=TODAY()+13),"À venir","Autre"))))</f>
        <v/>
      </c>
      <c r="V128" cm="1" t="n">
        <f t="array" ref="V128">IF(C128&lt;&gt;"",1,0)</f>
        <v>0</v>
      </c>
    </row>
    <row r="129" ht="78.75" customHeight="1">
      <c r="A129" s="17">
</c>
      <c r="B129" s="13">
</c>
      <c r="C129" s="10">
</c>
      <c r="D129" s="18">
</c>
      <c r="E129" s="13">
</c>
      <c r="F129" s="13">
</c>
      <c r="G129" s="12" cm="1" t="str">
        <f t="array" ref="G129">IF(F129="","",SUBSTITUTE(SUBSTITUTE(SUBSTITUTE(SUBSTITUTE(F129,"&lt;li&gt;",CHAR(10)),"&lt;/li&gt;",""),"&lt;br&gt;",CHAR(10)),"&lt;strong&gt;",""))</f>
        <v/>
      </c>
      <c r="H129" s="12" cm="1" t="str">
        <f t="array" ref="H129">IF(G129="","",SUBSTITUTE(SUBSTITUTE(SUBSTITUTE(SUBSTITUTE(SUBSTITUTE(G129,"&lt;p&gt;",""),"&lt;/p&gt;",""),"&lt;ul&gt;",""),"&lt;/ul&gt;",""),"&lt;/strong&gt;",""))</f>
        <v/>
      </c>
      <c r="I129" s="12" cm="1" t="str">
        <f t="array" ref="I129">IF(C129="","",IF(OR(H129="",H129=0,H129=FALSE),"-",H129))</f>
        <v/>
      </c>
      <c r="J129" s="13">
</c>
      <c r="K129" s="13">
</c>
      <c r="L129" s="9" cm="1" t="str">
        <f t="array" ref="L129">IF(C129="","",IF(K129="Mort / Plus rien à faire","KO","OK"))</f>
        <v/>
      </c>
      <c r="M129" s="19">
</c>
      <c r="N129" s="14" cm="1" t="str">
        <f t="array" ref="N129">IF(OR(C129="",M129="",M129=0),"",M129)</f>
        <v/>
      </c>
      <c r="O129" s="19">
</c>
      <c r="P129" s="14" cm="1" t="str">
        <f t="array" ref="P129">IF(C129="","",IF(OR(O129="",O129=0),"-",O129))</f>
        <v/>
      </c>
      <c r="Q129" s="20">
</c>
      <c r="R129" s="9" cm="1" t="str">
        <f t="array" ref="R129">IF(C129="","",ROUND(Q129/1000000,3)&amp;" M€")</f>
        <v/>
      </c>
      <c r="S129" s="21">
</c>
      <c r="T129" s="9" cm="1" t="str">
        <f t="array" ref="T129">IF(C129="","",SUBSTITUTE(S129,"","")&amp;"%")</f>
        <v/>
      </c>
      <c r="U129" s="12" cm="1" t="str">
        <f t="array" ref="U129">IF(($N129="")*($P129=""),"",IF(($N129&lt;&gt;"")*($N129&gt;TODAY()-9)*($N129&lt;TODAY()+1)*($P129&lt;&gt;"")*($P129&gt;=TODAY())*($P129&lt;=TODAY()+13),"Semaine passée &amp; à venir",IF(($N129&lt;&gt;"")*($N129&gt;TODAY()-9)*($N129&lt;TODAY()+1),"Semaine passée",IF(($P129&lt;&gt;"")*($P129&gt;=TODAY())*($P129&lt;=TODAY()+13),"À venir","Autre"))))</f>
        <v/>
      </c>
      <c r="V129" cm="1" t="n">
        <f t="array" ref="V129">IF(C129&lt;&gt;"",1,0)</f>
        <v>0</v>
      </c>
    </row>
    <row r="130" ht="78.75" customHeight="1">
      <c r="A130" s="17">
</c>
      <c r="B130" s="13">
</c>
      <c r="C130" s="10">
</c>
      <c r="D130" s="18">
</c>
      <c r="E130" s="13">
</c>
      <c r="F130" s="13">
</c>
      <c r="G130" s="12" cm="1" t="str">
        <f t="array" ref="G130">IF(F130="","",SUBSTITUTE(SUBSTITUTE(SUBSTITUTE(SUBSTITUTE(F130,"&lt;li&gt;",CHAR(10)),"&lt;/li&gt;",""),"&lt;br&gt;",CHAR(10)),"&lt;strong&gt;",""))</f>
        <v/>
      </c>
      <c r="H130" s="12" cm="1" t="str">
        <f t="array" ref="H130">IF(G130="","",SUBSTITUTE(SUBSTITUTE(SUBSTITUTE(SUBSTITUTE(SUBSTITUTE(G130,"&lt;p&gt;",""),"&lt;/p&gt;",""),"&lt;ul&gt;",""),"&lt;/ul&gt;",""),"&lt;/strong&gt;",""))</f>
        <v/>
      </c>
      <c r="I130" s="12" cm="1" t="str">
        <f t="array" ref="I130">IF(C130="","",IF(OR(H130="",H130=0,H130=FALSE),"-",H130))</f>
        <v/>
      </c>
      <c r="J130" s="13">
</c>
      <c r="K130" s="13">
</c>
      <c r="L130" s="9" cm="1" t="str">
        <f t="array" ref="L130">IF(C130="","",IF(K130="Mort / Plus rien à faire","KO","OK"))</f>
        <v/>
      </c>
      <c r="M130" s="19">
</c>
      <c r="N130" s="14" cm="1" t="str">
        <f t="array" ref="N130">IF(OR(C130="",M130="",M130=0),"",M130)</f>
        <v/>
      </c>
      <c r="O130" s="19">
</c>
      <c r="P130" s="14" cm="1" t="str">
        <f t="array" ref="P130">IF(C130="","",IF(OR(O130="",O130=0),"-",O130))</f>
        <v/>
      </c>
      <c r="Q130" s="20">
</c>
      <c r="R130" s="9" cm="1" t="str">
        <f t="array" ref="R130">IF(C130="","",ROUND(Q130/1000000,3)&amp;" M€")</f>
        <v/>
      </c>
      <c r="S130" s="21">
</c>
      <c r="T130" s="9" cm="1" t="str">
        <f t="array" ref="T130">IF(C130="","",SUBSTITUTE(S130,"","")&amp;"%")</f>
        <v/>
      </c>
      <c r="U130" s="12" cm="1" t="str">
        <f t="array" ref="U130">IF(($N130="")*($P130=""),"",IF(($N130&lt;&gt;"")*($N130&gt;TODAY()-9)*($N130&lt;TODAY()+1)*($P130&lt;&gt;"")*($P130&gt;=TODAY())*($P130&lt;=TODAY()+13),"Semaine passée &amp; à venir",IF(($N130&lt;&gt;"")*($N130&gt;TODAY()-9)*($N130&lt;TODAY()+1),"Semaine passée",IF(($P130&lt;&gt;"")*($P130&gt;=TODAY())*($P130&lt;=TODAY()+13),"À venir","Autre"))))</f>
        <v/>
      </c>
      <c r="V130" cm="1" t="n">
        <f t="array" ref="V130">IF(C130&lt;&gt;"",1,0)</f>
        <v>0</v>
      </c>
    </row>
    <row r="131" ht="78.75" customHeight="1">
      <c r="A131" s="17">
</c>
      <c r="B131" s="13">
</c>
      <c r="C131" s="10">
</c>
      <c r="D131" s="18">
</c>
      <c r="E131" s="13">
</c>
      <c r="F131" s="13">
</c>
      <c r="G131" s="12" cm="1" t="str">
        <f t="array" ref="G131">IF(F131="","",SUBSTITUTE(SUBSTITUTE(SUBSTITUTE(SUBSTITUTE(F131,"&lt;li&gt;",CHAR(10)),"&lt;/li&gt;",""),"&lt;br&gt;",CHAR(10)),"&lt;strong&gt;",""))</f>
        <v/>
      </c>
      <c r="H131" s="12" cm="1" t="str">
        <f t="array" ref="H131">IF(G131="","",SUBSTITUTE(SUBSTITUTE(SUBSTITUTE(SUBSTITUTE(SUBSTITUTE(G131,"&lt;p&gt;",""),"&lt;/p&gt;",""),"&lt;ul&gt;",""),"&lt;/ul&gt;",""),"&lt;/strong&gt;",""))</f>
        <v/>
      </c>
      <c r="I131" s="12" cm="1" t="str">
        <f t="array" ref="I131">IF(C131="","",IF(OR(H131="",H131=0,H131=FALSE),"-",H131))</f>
        <v/>
      </c>
      <c r="J131" s="13">
</c>
      <c r="K131" s="13">
</c>
      <c r="L131" s="9" cm="1" t="str">
        <f t="array" ref="L131">IF(C131="","",IF(K131="Mort / Plus rien à faire","KO","OK"))</f>
        <v/>
      </c>
      <c r="M131" s="19">
</c>
      <c r="N131" s="14" cm="1" t="str">
        <f t="array" ref="N131">IF(OR(C131="",M131="",M131=0),"",M131)</f>
        <v/>
      </c>
      <c r="O131" s="19">
</c>
      <c r="P131" s="14" cm="1" t="str">
        <f t="array" ref="P131">IF(C131="","",IF(OR(O131="",O131=0),"-",O131))</f>
        <v/>
      </c>
      <c r="Q131" s="20">
</c>
      <c r="R131" s="9" cm="1" t="str">
        <f t="array" ref="R131">IF(C131="","",ROUND(Q131/1000000,3)&amp;" M€")</f>
        <v/>
      </c>
      <c r="S131" s="21">
</c>
      <c r="T131" s="9" cm="1" t="str">
        <f t="array" ref="T131">IF(C131="","",SUBSTITUTE(S131,"","")&amp;"%")</f>
        <v/>
      </c>
      <c r="U131" s="12" cm="1" t="str">
        <f t="array" ref="U131">IF(($N131="")*($P131=""),"",IF(($N131&lt;&gt;"")*($N131&gt;TODAY()-9)*($N131&lt;TODAY()+1)*($P131&lt;&gt;"")*($P131&gt;=TODAY())*($P131&lt;=TODAY()+13),"Semaine passée &amp; à venir",IF(($N131&lt;&gt;"")*($N131&gt;TODAY()-9)*($N131&lt;TODAY()+1),"Semaine passée",IF(($P131&lt;&gt;"")*($P131&gt;=TODAY())*($P131&lt;=TODAY()+13),"À venir","Autre"))))</f>
        <v/>
      </c>
      <c r="V131" cm="1" t="n">
        <f t="array" ref="V131">IF(C131&lt;&gt;"",1,0)</f>
        <v>0</v>
      </c>
    </row>
    <row r="132" ht="78.75" customHeight="1">
      <c r="A132" s="17">
</c>
      <c r="B132" s="13">
</c>
      <c r="C132" s="10">
</c>
      <c r="D132" s="18">
</c>
      <c r="E132" s="13">
</c>
      <c r="F132" s="13">
</c>
      <c r="G132" s="12" cm="1" t="str">
        <f t="array" ref="G132">IF(F132="","",SUBSTITUTE(SUBSTITUTE(SUBSTITUTE(SUBSTITUTE(F132,"&lt;li&gt;",CHAR(10)),"&lt;/li&gt;",""),"&lt;br&gt;",CHAR(10)),"&lt;strong&gt;",""))</f>
        <v/>
      </c>
      <c r="H132" s="12" cm="1" t="str">
        <f t="array" ref="H132">IF(G132="","",SUBSTITUTE(SUBSTITUTE(SUBSTITUTE(SUBSTITUTE(SUBSTITUTE(G132,"&lt;p&gt;",""),"&lt;/p&gt;",""),"&lt;ul&gt;",""),"&lt;/ul&gt;",""),"&lt;/strong&gt;",""))</f>
        <v/>
      </c>
      <c r="I132" s="12" cm="1" t="str">
        <f t="array" ref="I132">IF(C132="","",IF(OR(H132="",H132=0,H132=FALSE),"-",H132))</f>
        <v/>
      </c>
      <c r="J132" s="13">
</c>
      <c r="K132" s="13">
</c>
      <c r="L132" s="9" cm="1" t="str">
        <f t="array" ref="L132">IF(C132="","",IF(K132="Mort / Plus rien à faire","KO","OK"))</f>
        <v/>
      </c>
      <c r="M132" s="19">
</c>
      <c r="N132" s="14" cm="1" t="str">
        <f t="array" ref="N132">IF(OR(C132="",M132="",M132=0),"",M132)</f>
        <v/>
      </c>
      <c r="O132" s="19">
</c>
      <c r="P132" s="14" cm="1" t="str">
        <f t="array" ref="P132">IF(C132="","",IF(OR(O132="",O132=0),"-",O132))</f>
        <v/>
      </c>
      <c r="Q132" s="20">
</c>
      <c r="R132" s="9" cm="1" t="str">
        <f t="array" ref="R132">IF(C132="","",ROUND(Q132/1000000,3)&amp;" M€")</f>
        <v/>
      </c>
      <c r="S132" s="21">
</c>
      <c r="T132" s="9" cm="1" t="str">
        <f t="array" ref="T132">IF(C132="","",SUBSTITUTE(S132,"","")&amp;"%")</f>
        <v/>
      </c>
      <c r="U132" s="12" cm="1" t="str">
        <f t="array" ref="U132">IF(($N132="")*($P132=""),"",IF(($N132&lt;&gt;"")*($N132&gt;TODAY()-9)*($N132&lt;TODAY()+1)*($P132&lt;&gt;"")*($P132&gt;=TODAY())*($P132&lt;=TODAY()+13),"Semaine passée &amp; à venir",IF(($N132&lt;&gt;"")*($N132&gt;TODAY()-9)*($N132&lt;TODAY()+1),"Semaine passée",IF(($P132&lt;&gt;"")*($P132&gt;=TODAY())*($P132&lt;=TODAY()+13),"À venir","Autre"))))</f>
        <v/>
      </c>
      <c r="V132" cm="1" t="n">
        <f t="array" ref="V132">IF(C132&lt;&gt;"",1,0)</f>
        <v>0</v>
      </c>
    </row>
    <row r="133" ht="78.75" customHeight="1">
      <c r="A133" s="17">
</c>
      <c r="B133" s="13">
</c>
      <c r="C133" s="10">
</c>
      <c r="D133" s="18">
</c>
      <c r="E133" s="13">
</c>
      <c r="F133" s="13">
</c>
      <c r="G133" s="12" cm="1" t="str">
        <f t="array" ref="G133">IF(F133="","",SUBSTITUTE(SUBSTITUTE(SUBSTITUTE(SUBSTITUTE(F133,"&lt;li&gt;",CHAR(10)),"&lt;/li&gt;",""),"&lt;br&gt;",CHAR(10)),"&lt;strong&gt;",""))</f>
        <v/>
      </c>
      <c r="H133" s="12" cm="1" t="str">
        <f t="array" ref="H133">IF(G133="","",SUBSTITUTE(SUBSTITUTE(SUBSTITUTE(SUBSTITUTE(SUBSTITUTE(G133,"&lt;p&gt;",""),"&lt;/p&gt;",""),"&lt;ul&gt;",""),"&lt;/ul&gt;",""),"&lt;/strong&gt;",""))</f>
        <v/>
      </c>
      <c r="I133" s="12" cm="1" t="str">
        <f t="array" ref="I133">IF(C133="","",IF(OR(H133="",H133=0,H133=FALSE),"-",H133))</f>
        <v/>
      </c>
      <c r="J133" s="13">
</c>
      <c r="K133" s="13">
</c>
      <c r="L133" s="9" cm="1" t="str">
        <f t="array" ref="L133">IF(C133="","",IF(K133="Mort / Plus rien à faire","KO","OK"))</f>
        <v/>
      </c>
      <c r="M133" s="19">
</c>
      <c r="N133" s="14" cm="1" t="str">
        <f t="array" ref="N133">IF(OR(C133="",M133="",M133=0),"",M133)</f>
        <v/>
      </c>
      <c r="O133" s="19">
</c>
      <c r="P133" s="14" cm="1" t="str">
        <f t="array" ref="P133">IF(C133="","",IF(OR(O133="",O133=0),"-",O133))</f>
        <v/>
      </c>
      <c r="Q133" s="20">
</c>
      <c r="R133" s="9" cm="1" t="str">
        <f t="array" ref="R133">IF(C133="","",ROUND(Q133/1000000,3)&amp;" M€")</f>
        <v/>
      </c>
      <c r="S133" s="21">
</c>
      <c r="T133" s="9" cm="1" t="str">
        <f t="array" ref="T133">IF(C133="","",SUBSTITUTE(S133,"","")&amp;"%")</f>
        <v/>
      </c>
      <c r="U133" s="12" cm="1" t="str">
        <f t="array" ref="U133">IF(($N133="")*($P133=""),"",IF(($N133&lt;&gt;"")*($N133&gt;TODAY()-9)*($N133&lt;TODAY()+1)*($P133&lt;&gt;"")*($P133&gt;=TODAY())*($P133&lt;=TODAY()+13),"Semaine passée &amp; à venir",IF(($N133&lt;&gt;"")*($N133&gt;TODAY()-9)*($N133&lt;TODAY()+1),"Semaine passée",IF(($P133&lt;&gt;"")*($P133&gt;=TODAY())*($P133&lt;=TODAY()+13),"À venir","Autre"))))</f>
        <v/>
      </c>
      <c r="V133" cm="1" t="n">
        <f t="array" ref="V133">IF(C133&lt;&gt;"",1,0)</f>
        <v>0</v>
      </c>
    </row>
    <row r="134" ht="78.75" customHeight="1">
      <c r="A134" s="17">
</c>
      <c r="B134" s="13">
</c>
      <c r="C134" s="10">
</c>
      <c r="D134" s="18">
</c>
      <c r="E134" s="13">
</c>
      <c r="F134" s="13">
</c>
      <c r="G134" s="12" cm="1" t="str">
        <f t="array" ref="G134">IF(F134="","",SUBSTITUTE(SUBSTITUTE(SUBSTITUTE(SUBSTITUTE(F134,"&lt;li&gt;",CHAR(10)),"&lt;/li&gt;",""),"&lt;br&gt;",CHAR(10)),"&lt;strong&gt;",""))</f>
        <v/>
      </c>
      <c r="H134" s="12" cm="1" t="str">
        <f t="array" ref="H134">IF(G134="","",SUBSTITUTE(SUBSTITUTE(SUBSTITUTE(SUBSTITUTE(SUBSTITUTE(G134,"&lt;p&gt;",""),"&lt;/p&gt;",""),"&lt;ul&gt;",""),"&lt;/ul&gt;",""),"&lt;/strong&gt;",""))</f>
        <v/>
      </c>
      <c r="I134" s="12" cm="1" t="str">
        <f t="array" ref="I134">IF(C134="","",IF(OR(H134="",H134=0,H134=FALSE),"-",H134))</f>
        <v/>
      </c>
      <c r="J134" s="13">
</c>
      <c r="K134" s="13">
</c>
      <c r="L134" s="9" cm="1" t="str">
        <f t="array" ref="L134">IF(C134="","",IF(K134="Mort / Plus rien à faire","KO","OK"))</f>
        <v/>
      </c>
      <c r="M134" s="19">
</c>
      <c r="N134" s="14" cm="1" t="str">
        <f t="array" ref="N134">IF(OR(C134="",M134="",M134=0),"",M134)</f>
        <v/>
      </c>
      <c r="O134" s="19">
</c>
      <c r="P134" s="14" cm="1" t="str">
        <f t="array" ref="P134">IF(C134="","",IF(OR(O134="",O134=0),"-",O134))</f>
        <v/>
      </c>
      <c r="Q134" s="20">
</c>
      <c r="R134" s="9" cm="1" t="str">
        <f t="array" ref="R134">IF(C134="","",ROUND(Q134/1000000,3)&amp;" M€")</f>
        <v/>
      </c>
      <c r="S134" s="21">
</c>
      <c r="T134" s="9" cm="1" t="str">
        <f t="array" ref="T134">IF(C134="","",SUBSTITUTE(S134,"","")&amp;"%")</f>
        <v/>
      </c>
      <c r="U134" s="12" cm="1" t="str">
        <f t="array" ref="U134">IF(($N134="")*($P134=""),"",IF(($N134&lt;&gt;"")*($N134&gt;TODAY()-9)*($N134&lt;TODAY()+1)*($P134&lt;&gt;"")*($P134&gt;=TODAY())*($P134&lt;=TODAY()+13),"Semaine passée &amp; à venir",IF(($N134&lt;&gt;"")*($N134&gt;TODAY()-9)*($N134&lt;TODAY()+1),"Semaine passée",IF(($P134&lt;&gt;"")*($P134&gt;=TODAY())*($P134&lt;=TODAY()+13),"À venir","Autre"))))</f>
        <v/>
      </c>
      <c r="V134" cm="1" t="n">
        <f t="array" ref="V134">IF(C134&lt;&gt;"",1,0)</f>
        <v>0</v>
      </c>
    </row>
    <row r="135" ht="78.75" customHeight="1">
      <c r="A135" s="17">
</c>
      <c r="B135" s="13">
</c>
      <c r="C135" s="10">
</c>
      <c r="D135" s="18">
</c>
      <c r="E135" s="13">
</c>
      <c r="F135" s="13">
</c>
      <c r="G135" s="12" cm="1" t="str">
        <f t="array" ref="G135">IF(F135="","",SUBSTITUTE(SUBSTITUTE(SUBSTITUTE(SUBSTITUTE(F135,"&lt;li&gt;",CHAR(10)),"&lt;/li&gt;",""),"&lt;br&gt;",CHAR(10)),"&lt;strong&gt;",""))</f>
        <v/>
      </c>
      <c r="H135" s="12" cm="1" t="str">
        <f t="array" ref="H135">IF(G135="","",SUBSTITUTE(SUBSTITUTE(SUBSTITUTE(SUBSTITUTE(SUBSTITUTE(G135,"&lt;p&gt;",""),"&lt;/p&gt;",""),"&lt;ul&gt;",""),"&lt;/ul&gt;",""),"&lt;/strong&gt;",""))</f>
        <v/>
      </c>
      <c r="I135" s="12" cm="1" t="str">
        <f t="array" ref="I135">IF(C135="","",IF(OR(H135="",H135=0,H135=FALSE),"-",H135))</f>
        <v/>
      </c>
      <c r="J135" s="13">
</c>
      <c r="K135" s="13">
</c>
      <c r="L135" s="9" cm="1" t="str">
        <f t="array" ref="L135">IF(C135="","",IF(K135="Mort / Plus rien à faire","KO","OK"))</f>
        <v/>
      </c>
      <c r="M135" s="19">
</c>
      <c r="N135" s="14" cm="1" t="str">
        <f t="array" ref="N135">IF(OR(C135="",M135="",M135=0),"",M135)</f>
        <v/>
      </c>
      <c r="O135" s="19">
</c>
      <c r="P135" s="14" cm="1" t="str">
        <f t="array" ref="P135">IF(C135="","",IF(OR(O135="",O135=0),"-",O135))</f>
        <v/>
      </c>
      <c r="Q135" s="20">
</c>
      <c r="R135" s="9" cm="1" t="str">
        <f t="array" ref="R135">IF(C135="","",ROUND(Q135/1000000,3)&amp;" M€")</f>
        <v/>
      </c>
      <c r="S135" s="21">
</c>
      <c r="T135" s="9" cm="1" t="str">
        <f t="array" ref="T135">IF(C135="","",SUBSTITUTE(S135,"","")&amp;"%")</f>
        <v/>
      </c>
      <c r="U135" s="12" cm="1" t="str">
        <f t="array" ref="U135">IF(($N135="")*($P135=""),"",IF(($N135&lt;&gt;"")*($N135&gt;TODAY()-9)*($N135&lt;TODAY()+1)*($P135&lt;&gt;"")*($P135&gt;=TODAY())*($P135&lt;=TODAY()+13),"Semaine passée &amp; à venir",IF(($N135&lt;&gt;"")*($N135&gt;TODAY()-9)*($N135&lt;TODAY()+1),"Semaine passée",IF(($P135&lt;&gt;"")*($P135&gt;=TODAY())*($P135&lt;=TODAY()+13),"À venir","Autre"))))</f>
        <v/>
      </c>
      <c r="V135" cm="1" t="n">
        <f t="array" ref="V135">IF(C135&lt;&gt;"",1,0)</f>
        <v>0</v>
      </c>
    </row>
    <row r="136" ht="78.75" customHeight="1">
      <c r="A136" s="17">
</c>
      <c r="B136" s="13">
</c>
      <c r="C136" s="10">
</c>
      <c r="D136" s="18">
</c>
      <c r="E136" s="13">
</c>
      <c r="F136" s="13">
</c>
      <c r="G136" s="12" cm="1" t="str">
        <f t="array" ref="G136">IF(F136="","",SUBSTITUTE(SUBSTITUTE(SUBSTITUTE(SUBSTITUTE(F136,"&lt;li&gt;",CHAR(10)),"&lt;/li&gt;",""),"&lt;br&gt;",CHAR(10)),"&lt;strong&gt;",""))</f>
        <v/>
      </c>
      <c r="H136" s="12" cm="1" t="str">
        <f t="array" ref="H136">IF(G136="","",SUBSTITUTE(SUBSTITUTE(SUBSTITUTE(SUBSTITUTE(SUBSTITUTE(G136,"&lt;p&gt;",""),"&lt;/p&gt;",""),"&lt;ul&gt;",""),"&lt;/ul&gt;",""),"&lt;/strong&gt;",""))</f>
        <v/>
      </c>
      <c r="I136" s="12" cm="1" t="str">
        <f t="array" ref="I136">IF(C136="","",IF(OR(H136="",H136=0,H136=FALSE),"-",H136))</f>
        <v/>
      </c>
      <c r="J136" s="13">
</c>
      <c r="K136" s="13">
</c>
      <c r="L136" s="9" cm="1" t="str">
        <f t="array" ref="L136">IF(C136="","",IF(K136="Mort / Plus rien à faire","KO","OK"))</f>
        <v/>
      </c>
      <c r="M136" s="19">
</c>
      <c r="N136" s="14" cm="1" t="str">
        <f t="array" ref="N136">IF(OR(C136="",M136="",M136=0),"",M136)</f>
        <v/>
      </c>
      <c r="O136" s="19">
</c>
      <c r="P136" s="14" cm="1" t="str">
        <f t="array" ref="P136">IF(C136="","",IF(OR(O136="",O136=0),"-",O136))</f>
        <v/>
      </c>
      <c r="Q136" s="20">
</c>
      <c r="R136" s="9" cm="1" t="str">
        <f t="array" ref="R136">IF(C136="","",ROUND(Q136/1000000,3)&amp;" M€")</f>
        <v/>
      </c>
      <c r="S136" s="21">
</c>
      <c r="T136" s="9" cm="1" t="str">
        <f t="array" ref="T136">IF(C136="","",SUBSTITUTE(S136,"","")&amp;"%")</f>
        <v/>
      </c>
      <c r="U136" s="12" cm="1" t="str">
        <f t="array" ref="U136">IF(($N136="")*($P136=""),"",IF(($N136&lt;&gt;"")*($N136&gt;TODAY()-9)*($N136&lt;TODAY()+1)*($P136&lt;&gt;"")*($P136&gt;=TODAY())*($P136&lt;=TODAY()+13),"Semaine passée &amp; à venir",IF(($N136&lt;&gt;"")*($N136&gt;TODAY()-9)*($N136&lt;TODAY()+1),"Semaine passée",IF(($P136&lt;&gt;"")*($P136&gt;=TODAY())*($P136&lt;=TODAY()+13),"À venir","Autre"))))</f>
        <v/>
      </c>
      <c r="V136" cm="1" t="n">
        <f t="array" ref="V136">IF(C136&lt;&gt;"",1,0)</f>
        <v>0</v>
      </c>
    </row>
    <row r="137" ht="78.75" customHeight="1">
      <c r="A137" s="17">
</c>
      <c r="B137" s="13">
</c>
      <c r="C137" s="10">
</c>
      <c r="D137" s="18">
</c>
      <c r="E137" s="13">
</c>
      <c r="F137" s="13">
</c>
      <c r="G137" s="12" cm="1" t="str">
        <f t="array" ref="G137">IF(F137="","",SUBSTITUTE(SUBSTITUTE(SUBSTITUTE(SUBSTITUTE(F137,"&lt;li&gt;",CHAR(10)),"&lt;/li&gt;",""),"&lt;br&gt;",CHAR(10)),"&lt;strong&gt;",""))</f>
        <v/>
      </c>
      <c r="H137" s="12" cm="1" t="str">
        <f t="array" ref="H137">IF(G137="","",SUBSTITUTE(SUBSTITUTE(SUBSTITUTE(SUBSTITUTE(SUBSTITUTE(G137,"&lt;p&gt;",""),"&lt;/p&gt;",""),"&lt;ul&gt;",""),"&lt;/ul&gt;",""),"&lt;/strong&gt;",""))</f>
        <v/>
      </c>
      <c r="I137" s="12" cm="1" t="str">
        <f t="array" ref="I137">IF(C137="","",IF(OR(H137="",H137=0,H137=FALSE),"-",H137))</f>
        <v/>
      </c>
      <c r="J137" s="13">
</c>
      <c r="K137" s="13">
</c>
      <c r="L137" s="9" cm="1" t="str">
        <f t="array" ref="L137">IF(C137="","",IF(K137="Mort / Plus rien à faire","KO","OK"))</f>
        <v/>
      </c>
      <c r="M137" s="19">
</c>
      <c r="N137" s="14" cm="1" t="str">
        <f t="array" ref="N137">IF(OR(C137="",M137="",M137=0),"",M137)</f>
        <v/>
      </c>
      <c r="O137" s="19">
</c>
      <c r="P137" s="14" cm="1" t="str">
        <f t="array" ref="P137">IF(C137="","",IF(OR(O137="",O137=0),"-",O137))</f>
        <v/>
      </c>
      <c r="Q137" s="20">
</c>
      <c r="R137" s="9" cm="1" t="str">
        <f t="array" ref="R137">IF(C137="","",ROUND(Q137/1000000,3)&amp;" M€")</f>
        <v/>
      </c>
      <c r="S137" s="21">
</c>
      <c r="T137" s="9" cm="1" t="str">
        <f t="array" ref="T137">IF(C137="","",SUBSTITUTE(S137,"","")&amp;"%")</f>
        <v/>
      </c>
      <c r="U137" s="12" cm="1" t="str">
        <f t="array" ref="U137">IF(($N137="")*($P137=""),"",IF(($N137&lt;&gt;"")*($N137&gt;TODAY()-9)*($N137&lt;TODAY()+1)*($P137&lt;&gt;"")*($P137&gt;=TODAY())*($P137&lt;=TODAY()+13),"Semaine passée &amp; à venir",IF(($N137&lt;&gt;"")*($N137&gt;TODAY()-9)*($N137&lt;TODAY()+1),"Semaine passée",IF(($P137&lt;&gt;"")*($P137&gt;=TODAY())*($P137&lt;=TODAY()+13),"À venir","Autre"))))</f>
        <v/>
      </c>
      <c r="V137" cm="1" t="n">
        <f t="array" ref="V137">IF(C137&lt;&gt;"",1,0)</f>
        <v>0</v>
      </c>
    </row>
    <row r="138" ht="78.75" customHeight="1">
      <c r="A138" s="17">
</c>
      <c r="B138" s="13">
</c>
      <c r="C138" s="10">
</c>
      <c r="D138" s="18">
</c>
      <c r="E138" s="13">
</c>
      <c r="F138" s="13">
</c>
      <c r="G138" s="12" cm="1" t="str">
        <f t="array" ref="G138">IF(F138="","",SUBSTITUTE(SUBSTITUTE(SUBSTITUTE(SUBSTITUTE(F138,"&lt;li&gt;",CHAR(10)),"&lt;/li&gt;",""),"&lt;br&gt;",CHAR(10)),"&lt;strong&gt;",""))</f>
        <v/>
      </c>
      <c r="H138" s="12" cm="1" t="str">
        <f t="array" ref="H138">IF(G138="","",SUBSTITUTE(SUBSTITUTE(SUBSTITUTE(SUBSTITUTE(SUBSTITUTE(G138,"&lt;p&gt;",""),"&lt;/p&gt;",""),"&lt;ul&gt;",""),"&lt;/ul&gt;",""),"&lt;/strong&gt;",""))</f>
        <v/>
      </c>
      <c r="I138" s="12" cm="1" t="str">
        <f t="array" ref="I138">IF(C138="","",IF(OR(H138="",H138=0,H138=FALSE),"-",H138))</f>
        <v/>
      </c>
      <c r="J138" s="13">
</c>
      <c r="K138" s="13">
</c>
      <c r="L138" s="9" cm="1" t="str">
        <f t="array" ref="L138">IF(C138="","",IF(K138="Mort / Plus rien à faire","KO","OK"))</f>
        <v/>
      </c>
      <c r="M138" s="19">
</c>
      <c r="N138" s="14" cm="1" t="str">
        <f t="array" ref="N138">IF(OR(C138="",M138="",M138=0),"",M138)</f>
        <v/>
      </c>
      <c r="O138" s="19">
</c>
      <c r="P138" s="14" cm="1" t="str">
        <f t="array" ref="P138">IF(C138="","",IF(OR(O138="",O138=0),"-",O138))</f>
        <v/>
      </c>
      <c r="Q138" s="20">
</c>
      <c r="R138" s="9" cm="1" t="str">
        <f t="array" ref="R138">IF(C138="","",ROUND(Q138/1000000,3)&amp;" M€")</f>
        <v/>
      </c>
      <c r="S138" s="21">
</c>
      <c r="T138" s="9" cm="1" t="str">
        <f t="array" ref="T138">IF(C138="","",SUBSTITUTE(S138,"","")&amp;"%")</f>
        <v/>
      </c>
      <c r="U138" s="12" cm="1" t="str">
        <f t="array" ref="U138">IF(($N138="")*($P138=""),"",IF(($N138&lt;&gt;"")*($N138&gt;TODAY()-9)*($N138&lt;TODAY()+1)*($P138&lt;&gt;"")*($P138&gt;=TODAY())*($P138&lt;=TODAY()+13),"Semaine passée &amp; à venir",IF(($N138&lt;&gt;"")*($N138&gt;TODAY()-9)*($N138&lt;TODAY()+1),"Semaine passée",IF(($P138&lt;&gt;"")*($P138&gt;=TODAY())*($P138&lt;=TODAY()+13),"À venir","Autre"))))</f>
        <v/>
      </c>
      <c r="V138" cm="1" t="n">
        <f t="array" ref="V138">IF(C138&lt;&gt;"",1,0)</f>
        <v>0</v>
      </c>
    </row>
    <row r="139" ht="78.75" customHeight="1">
      <c r="A139" s="17">
</c>
      <c r="B139" s="13">
</c>
      <c r="C139" s="10">
</c>
      <c r="D139" s="18">
</c>
      <c r="E139" s="13">
</c>
      <c r="F139" s="13">
</c>
      <c r="G139" s="12" cm="1" t="str">
        <f t="array" ref="G139">IF(F139="","",SUBSTITUTE(SUBSTITUTE(SUBSTITUTE(SUBSTITUTE(F139,"&lt;li&gt;",CHAR(10)),"&lt;/li&gt;",""),"&lt;br&gt;",CHAR(10)),"&lt;strong&gt;",""))</f>
        <v/>
      </c>
      <c r="H139" s="12" cm="1" t="str">
        <f t="array" ref="H139">IF(G139="","",SUBSTITUTE(SUBSTITUTE(SUBSTITUTE(SUBSTITUTE(SUBSTITUTE(G139,"&lt;p&gt;",""),"&lt;/p&gt;",""),"&lt;ul&gt;",""),"&lt;/ul&gt;",""),"&lt;/strong&gt;",""))</f>
        <v/>
      </c>
      <c r="I139" s="12" cm="1" t="str">
        <f t="array" ref="I139">IF(C139="","",IF(OR(H139="",H139=0,H139=FALSE),"-",H139))</f>
        <v/>
      </c>
      <c r="J139" s="13">
</c>
      <c r="K139" s="13">
</c>
      <c r="L139" s="9" cm="1" t="str">
        <f t="array" ref="L139">IF(C139="","",IF(K139="Mort / Plus rien à faire","KO","OK"))</f>
        <v/>
      </c>
      <c r="M139" s="19">
</c>
      <c r="N139" s="14" cm="1" t="str">
        <f t="array" ref="N139">IF(OR(C139="",M139="",M139=0),"",M139)</f>
        <v/>
      </c>
      <c r="O139" s="19">
</c>
      <c r="P139" s="14" cm="1" t="str">
        <f t="array" ref="P139">IF(C139="","",IF(OR(O139="",O139=0),"-",O139))</f>
        <v/>
      </c>
      <c r="Q139" s="20">
</c>
      <c r="R139" s="9" cm="1" t="str">
        <f t="array" ref="R139">IF(C139="","",ROUND(Q139/1000000,3)&amp;" M€")</f>
        <v/>
      </c>
      <c r="S139" s="21">
</c>
      <c r="T139" s="9" cm="1" t="str">
        <f t="array" ref="T139">IF(C139="","",SUBSTITUTE(S139,"","")&amp;"%")</f>
        <v/>
      </c>
      <c r="U139" s="12" cm="1" t="str">
        <f t="array" ref="U139">IF(($N139="")*($P139=""),"",IF(($N139&lt;&gt;"")*($N139&gt;TODAY()-9)*($N139&lt;TODAY()+1)*($P139&lt;&gt;"")*($P139&gt;=TODAY())*($P139&lt;=TODAY()+13),"Semaine passée &amp; à venir",IF(($N139&lt;&gt;"")*($N139&gt;TODAY()-9)*($N139&lt;TODAY()+1),"Semaine passée",IF(($P139&lt;&gt;"")*($P139&gt;=TODAY())*($P139&lt;=TODAY()+13),"À venir","Autre"))))</f>
        <v/>
      </c>
      <c r="V139" cm="1" t="n">
        <f t="array" ref="V139">IF(C139&lt;&gt;"",1,0)</f>
        <v>0</v>
      </c>
    </row>
    <row r="140" ht="78.75" customHeight="1">
      <c r="A140" s="17">
</c>
      <c r="B140" s="13">
</c>
      <c r="C140" s="10">
</c>
      <c r="D140" s="18">
</c>
      <c r="E140" s="13">
</c>
      <c r="F140" s="13">
</c>
      <c r="G140" s="12" cm="1" t="str">
        <f t="array" ref="G140">IF(F140="","",SUBSTITUTE(SUBSTITUTE(SUBSTITUTE(SUBSTITUTE(F140,"&lt;li&gt;",CHAR(10)),"&lt;/li&gt;",""),"&lt;br&gt;",CHAR(10)),"&lt;strong&gt;",""))</f>
        <v/>
      </c>
      <c r="H140" s="12" cm="1" t="str">
        <f t="array" ref="H140">IF(G140="","",SUBSTITUTE(SUBSTITUTE(SUBSTITUTE(SUBSTITUTE(SUBSTITUTE(G140,"&lt;p&gt;",""),"&lt;/p&gt;",""),"&lt;ul&gt;",""),"&lt;/ul&gt;",""),"&lt;/strong&gt;",""))</f>
        <v/>
      </c>
      <c r="I140" s="12" cm="1" t="str">
        <f t="array" ref="I140">IF(C140="","",IF(OR(H140="",H140=0,H140=FALSE),"-",H140))</f>
        <v/>
      </c>
      <c r="J140" s="13">
</c>
      <c r="K140" s="13">
</c>
      <c r="L140" s="9" cm="1" t="str">
        <f t="array" ref="L140">IF(C140="","",IF(K140="Mort / Plus rien à faire","KO","OK"))</f>
        <v/>
      </c>
      <c r="M140" s="19">
</c>
      <c r="N140" s="14" cm="1" t="str">
        <f t="array" ref="N140">IF(OR(C140="",M140="",M140=0),"",M140)</f>
        <v/>
      </c>
      <c r="O140" s="19">
</c>
      <c r="P140" s="14" cm="1" t="str">
        <f t="array" ref="P140">IF(C140="","",IF(OR(O140="",O140=0),"-",O140))</f>
        <v/>
      </c>
      <c r="Q140" s="20">
</c>
      <c r="R140" s="9" cm="1" t="str">
        <f t="array" ref="R140">IF(C140="","",ROUND(Q140/1000000,3)&amp;" M€")</f>
        <v/>
      </c>
      <c r="S140" s="21">
</c>
      <c r="T140" s="9" cm="1" t="str">
        <f t="array" ref="T140">IF(C140="","",SUBSTITUTE(S140,"","")&amp;"%")</f>
        <v/>
      </c>
      <c r="U140" s="12" cm="1" t="str">
        <f t="array" ref="U140">IF(($N140="")*($P140=""),"",IF(($N140&lt;&gt;"")*($N140&gt;TODAY()-9)*($N140&lt;TODAY()+1)*($P140&lt;&gt;"")*($P140&gt;=TODAY())*($P140&lt;=TODAY()+13),"Semaine passée &amp; à venir",IF(($N140&lt;&gt;"")*($N140&gt;TODAY()-9)*($N140&lt;TODAY()+1),"Semaine passée",IF(($P140&lt;&gt;"")*($P140&gt;=TODAY())*($P140&lt;=TODAY()+13),"À venir","Autre"))))</f>
        <v/>
      </c>
      <c r="V140" cm="1" t="n">
        <f t="array" ref="V140">IF(C140&lt;&gt;"",1,0)</f>
        <v>0</v>
      </c>
    </row>
    <row r="141" ht="78.75" customHeight="1">
      <c r="A141" s="17">
</c>
      <c r="B141" s="13">
</c>
      <c r="C141" s="10">
</c>
      <c r="D141" s="18">
</c>
      <c r="E141" s="13">
</c>
      <c r="F141" s="13">
</c>
      <c r="G141" s="12" cm="1" t="str">
        <f t="array" ref="G141">IF(F141="","",SUBSTITUTE(SUBSTITUTE(SUBSTITUTE(SUBSTITUTE(F141,"&lt;li&gt;",CHAR(10)),"&lt;/li&gt;",""),"&lt;br&gt;",CHAR(10)),"&lt;strong&gt;",""))</f>
        <v/>
      </c>
      <c r="H141" s="12" cm="1" t="str">
        <f t="array" ref="H141">IF(G141="","",SUBSTITUTE(SUBSTITUTE(SUBSTITUTE(SUBSTITUTE(SUBSTITUTE(G141,"&lt;p&gt;",""),"&lt;/p&gt;",""),"&lt;ul&gt;",""),"&lt;/ul&gt;",""),"&lt;/strong&gt;",""))</f>
        <v/>
      </c>
      <c r="I141" s="12" cm="1" t="str">
        <f t="array" ref="I141">IF(C141="","",IF(OR(H141="",H141=0,H141=FALSE),"-",H141))</f>
        <v/>
      </c>
      <c r="J141" s="13">
</c>
      <c r="K141" s="13">
</c>
      <c r="L141" s="9" cm="1" t="str">
        <f t="array" ref="L141">IF(C141="","",IF(K141="Mort / Plus rien à faire","KO","OK"))</f>
        <v/>
      </c>
      <c r="M141" s="19">
</c>
      <c r="N141" s="14" cm="1" t="str">
        <f t="array" ref="N141">IF(OR(C141="",M141="",M141=0),"",M141)</f>
        <v/>
      </c>
      <c r="O141" s="19">
</c>
      <c r="P141" s="14" cm="1" t="str">
        <f t="array" ref="P141">IF(C141="","",IF(OR(O141="",O141=0),"-",O141))</f>
        <v/>
      </c>
      <c r="Q141" s="20">
</c>
      <c r="R141" s="9" cm="1" t="str">
        <f t="array" ref="R141">IF(C141="","",ROUND(Q141/1000000,3)&amp;" M€")</f>
        <v/>
      </c>
      <c r="S141" s="21">
</c>
      <c r="T141" s="9" cm="1" t="str">
        <f t="array" ref="T141">IF(C141="","",SUBSTITUTE(S141,"","")&amp;"%")</f>
        <v/>
      </c>
      <c r="U141" s="12" cm="1" t="str">
        <f t="array" ref="U141">IF(($N141="")*($P141=""),"",IF(($N141&lt;&gt;"")*($N141&gt;TODAY()-9)*($N141&lt;TODAY()+1)*($P141&lt;&gt;"")*($P141&gt;=TODAY())*($P141&lt;=TODAY()+13),"Semaine passée &amp; à venir",IF(($N141&lt;&gt;"")*($N141&gt;TODAY()-9)*($N141&lt;TODAY()+1),"Semaine passée",IF(($P141&lt;&gt;"")*($P141&gt;=TODAY())*($P141&lt;=TODAY()+13),"À venir","Autre"))))</f>
        <v/>
      </c>
      <c r="V141" cm="1" t="n">
        <f t="array" ref="V141">IF(C141&lt;&gt;"",1,0)</f>
        <v>0</v>
      </c>
    </row>
    <row r="142" ht="78.75" customHeight="1">
      <c r="A142" s="17">
</c>
      <c r="B142" s="13">
</c>
      <c r="C142" s="10">
</c>
      <c r="D142" s="18">
</c>
      <c r="E142" s="13">
</c>
      <c r="F142" s="13">
</c>
      <c r="G142" s="12" cm="1" t="str">
        <f t="array" ref="G142">IF(F142="","",SUBSTITUTE(SUBSTITUTE(SUBSTITUTE(SUBSTITUTE(F142,"&lt;li&gt;",CHAR(10)),"&lt;/li&gt;",""),"&lt;br&gt;",CHAR(10)),"&lt;strong&gt;",""))</f>
        <v/>
      </c>
      <c r="H142" s="12" cm="1" t="str">
        <f t="array" ref="H142">IF(G142="","",SUBSTITUTE(SUBSTITUTE(SUBSTITUTE(SUBSTITUTE(SUBSTITUTE(G142,"&lt;p&gt;",""),"&lt;/p&gt;",""),"&lt;ul&gt;",""),"&lt;/ul&gt;",""),"&lt;/strong&gt;",""))</f>
        <v/>
      </c>
      <c r="I142" s="12" cm="1" t="str">
        <f t="array" ref="I142">IF(C142="","",IF(OR(H142="",H142=0,H142=FALSE),"-",H142))</f>
        <v/>
      </c>
      <c r="J142" s="13">
</c>
      <c r="K142" s="13">
</c>
      <c r="L142" s="9" cm="1" t="str">
        <f t="array" ref="L142">IF(C142="","",IF(K142="Mort / Plus rien à faire","KO","OK"))</f>
        <v/>
      </c>
      <c r="M142" s="19">
</c>
      <c r="N142" s="14" cm="1" t="str">
        <f t="array" ref="N142">IF(OR(C142="",M142="",M142=0),"",M142)</f>
        <v/>
      </c>
      <c r="O142" s="19">
</c>
      <c r="P142" s="14" cm="1" t="str">
        <f t="array" ref="P142">IF(C142="","",IF(OR(O142="",O142=0),"-",O142))</f>
        <v/>
      </c>
      <c r="Q142" s="20">
</c>
      <c r="R142" s="9" cm="1" t="str">
        <f t="array" ref="R142">IF(C142="","",ROUND(Q142/1000000,3)&amp;" M€")</f>
        <v/>
      </c>
      <c r="S142" s="21">
</c>
      <c r="T142" s="9" cm="1" t="str">
        <f t="array" ref="T142">IF(C142="","",SUBSTITUTE(S142,"","")&amp;"%")</f>
        <v/>
      </c>
      <c r="U142" s="12" cm="1" t="str">
        <f t="array" ref="U142">IF(($N142="")*($P142=""),"",IF(($N142&lt;&gt;"")*($N142&gt;TODAY()-9)*($N142&lt;TODAY()+1)*($P142&lt;&gt;"")*($P142&gt;=TODAY())*($P142&lt;=TODAY()+13),"Semaine passée &amp; à venir",IF(($N142&lt;&gt;"")*($N142&gt;TODAY()-9)*($N142&lt;TODAY()+1),"Semaine passée",IF(($P142&lt;&gt;"")*($P142&gt;=TODAY())*($P142&lt;=TODAY()+13),"À venir","Autre"))))</f>
        <v/>
      </c>
      <c r="V142" cm="1" t="n">
        <f t="array" ref="V142">IF(C142&lt;&gt;"",1,0)</f>
        <v>0</v>
      </c>
    </row>
    <row r="143" ht="78.75" customHeight="1">
      <c r="A143" s="17">
</c>
      <c r="B143" s="13">
</c>
      <c r="C143" s="10">
</c>
      <c r="D143" s="18">
</c>
      <c r="E143" s="13">
</c>
      <c r="F143" s="13">
</c>
      <c r="G143" s="12" cm="1" t="str">
        <f t="array" ref="G143">IF(F143="","",SUBSTITUTE(SUBSTITUTE(SUBSTITUTE(SUBSTITUTE(F143,"&lt;li&gt;",CHAR(10)),"&lt;/li&gt;",""),"&lt;br&gt;",CHAR(10)),"&lt;strong&gt;",""))</f>
        <v/>
      </c>
      <c r="H143" s="12" cm="1" t="str">
        <f t="array" ref="H143">IF(G143="","",SUBSTITUTE(SUBSTITUTE(SUBSTITUTE(SUBSTITUTE(SUBSTITUTE(G143,"&lt;p&gt;",""),"&lt;/p&gt;",""),"&lt;ul&gt;",""),"&lt;/ul&gt;",""),"&lt;/strong&gt;",""))</f>
        <v/>
      </c>
      <c r="I143" s="12" cm="1" t="str">
        <f t="array" ref="I143">IF(C143="","",IF(OR(H143="",H143=0,H143=FALSE),"-",H143))</f>
        <v/>
      </c>
      <c r="J143" s="13">
</c>
      <c r="K143" s="13">
</c>
      <c r="L143" s="9" cm="1" t="str">
        <f t="array" ref="L143">IF(C143="","",IF(K143="Mort / Plus rien à faire","KO","OK"))</f>
        <v/>
      </c>
      <c r="M143" s="19">
</c>
      <c r="N143" s="14" cm="1" t="str">
        <f t="array" ref="N143">IF(OR(C143="",M143="",M143=0),"",M143)</f>
        <v/>
      </c>
      <c r="O143" s="19">
</c>
      <c r="P143" s="14" cm="1" t="str">
        <f t="array" ref="P143">IF(C143="","",IF(OR(O143="",O143=0),"-",O143))</f>
        <v/>
      </c>
      <c r="Q143" s="20">
</c>
      <c r="R143" s="9" cm="1" t="str">
        <f t="array" ref="R143">IF(C143="","",ROUND(Q143/1000000,3)&amp;" M€")</f>
        <v/>
      </c>
      <c r="S143" s="21">
</c>
      <c r="T143" s="9" cm="1" t="str">
        <f t="array" ref="T143">IF(C143="","",SUBSTITUTE(S143,"","")&amp;"%")</f>
        <v/>
      </c>
      <c r="U143" s="12" cm="1" t="str">
        <f t="array" ref="U143">IF(($N143="")*($P143=""),"",IF(($N143&lt;&gt;"")*($N143&gt;TODAY()-9)*($N143&lt;TODAY()+1)*($P143&lt;&gt;"")*($P143&gt;=TODAY())*($P143&lt;=TODAY()+13),"Semaine passée &amp; à venir",IF(($N143&lt;&gt;"")*($N143&gt;TODAY()-9)*($N143&lt;TODAY()+1),"Semaine passée",IF(($P143&lt;&gt;"")*($P143&gt;=TODAY())*($P143&lt;=TODAY()+13),"À venir","Autre"))))</f>
        <v/>
      </c>
      <c r="V143" cm="1" t="n">
        <f t="array" ref="V143">IF(C143&lt;&gt;"",1,0)</f>
        <v>0</v>
      </c>
    </row>
    <row r="144" ht="78.75" customHeight="1">
      <c r="A144" s="17">
</c>
      <c r="B144" s="13">
</c>
      <c r="C144" s="10">
</c>
      <c r="D144" s="18">
</c>
      <c r="E144" s="13">
</c>
      <c r="F144" s="13">
</c>
      <c r="G144" s="12" cm="1" t="str">
        <f t="array" ref="G144">IF(F144="","",SUBSTITUTE(SUBSTITUTE(SUBSTITUTE(SUBSTITUTE(F144,"&lt;li&gt;",CHAR(10)),"&lt;/li&gt;",""),"&lt;br&gt;",CHAR(10)),"&lt;strong&gt;",""))</f>
        <v/>
      </c>
      <c r="H144" s="12" cm="1" t="str">
        <f t="array" ref="H144">IF(G144="","",SUBSTITUTE(SUBSTITUTE(SUBSTITUTE(SUBSTITUTE(SUBSTITUTE(G144,"&lt;p&gt;",""),"&lt;/p&gt;",""),"&lt;ul&gt;",""),"&lt;/ul&gt;",""),"&lt;/strong&gt;",""))</f>
        <v/>
      </c>
      <c r="I144" s="12" cm="1" t="str">
        <f t="array" ref="I144">IF(C144="","",IF(OR(H144="",H144=0,H144=FALSE),"-",H144))</f>
        <v/>
      </c>
      <c r="J144" s="13">
</c>
      <c r="K144" s="13">
</c>
      <c r="L144" s="9" cm="1" t="str">
        <f t="array" ref="L144">IF(C144="","",IF(K144="Mort / Plus rien à faire","KO","OK"))</f>
        <v/>
      </c>
      <c r="M144" s="19">
</c>
      <c r="N144" s="14" cm="1" t="str">
        <f t="array" ref="N144">IF(OR(C144="",M144="",M144=0),"",M144)</f>
        <v/>
      </c>
      <c r="O144" s="19">
</c>
      <c r="P144" s="14" cm="1" t="str">
        <f t="array" ref="P144">IF(C144="","",IF(OR(O144="",O144=0),"-",O144))</f>
        <v/>
      </c>
      <c r="Q144" s="20">
</c>
      <c r="R144" s="9" cm="1" t="str">
        <f t="array" ref="R144">IF(C144="","",ROUND(Q144/1000000,3)&amp;" M€")</f>
        <v/>
      </c>
      <c r="S144" s="21">
</c>
      <c r="T144" s="9" cm="1" t="str">
        <f t="array" ref="T144">IF(C144="","",SUBSTITUTE(S144,"","")&amp;"%")</f>
        <v/>
      </c>
      <c r="U144" s="12" cm="1" t="str">
        <f t="array" ref="U144">IF(($N144="")*($P144=""),"",IF(($N144&lt;&gt;"")*($N144&gt;TODAY()-9)*($N144&lt;TODAY()+1)*($P144&lt;&gt;"")*($P144&gt;=TODAY())*($P144&lt;=TODAY()+13),"Semaine passée &amp; à venir",IF(($N144&lt;&gt;"")*($N144&gt;TODAY()-9)*($N144&lt;TODAY()+1),"Semaine passée",IF(($P144&lt;&gt;"")*($P144&gt;=TODAY())*($P144&lt;=TODAY()+13),"À venir","Autre"))))</f>
        <v/>
      </c>
      <c r="V144" cm="1" t="n">
        <f t="array" ref="V144">IF(C144&lt;&gt;"",1,0)</f>
        <v>0</v>
      </c>
    </row>
    <row r="145" ht="78.75" customHeight="1">
      <c r="A145" s="17">
</c>
      <c r="B145" s="13">
</c>
      <c r="C145" s="10">
</c>
      <c r="D145" s="18">
</c>
      <c r="E145" s="13">
</c>
      <c r="F145" s="13">
</c>
      <c r="G145" s="12" cm="1" t="str">
        <f t="array" ref="G145">IF(F145="","",SUBSTITUTE(SUBSTITUTE(SUBSTITUTE(SUBSTITUTE(F145,"&lt;li&gt;",CHAR(10)),"&lt;/li&gt;",""),"&lt;br&gt;",CHAR(10)),"&lt;strong&gt;",""))</f>
        <v/>
      </c>
      <c r="H145" s="12" cm="1" t="str">
        <f t="array" ref="H145">IF(G145="","",SUBSTITUTE(SUBSTITUTE(SUBSTITUTE(SUBSTITUTE(SUBSTITUTE(G145,"&lt;p&gt;",""),"&lt;/p&gt;",""),"&lt;ul&gt;",""),"&lt;/ul&gt;",""),"&lt;/strong&gt;",""))</f>
        <v/>
      </c>
      <c r="I145" s="12" cm="1" t="str">
        <f t="array" ref="I145">IF(C145="","",IF(OR(H145="",H145=0,H145=FALSE),"-",H145))</f>
        <v/>
      </c>
      <c r="J145" s="13">
</c>
      <c r="K145" s="13">
</c>
      <c r="L145" s="9" cm="1" t="str">
        <f t="array" ref="L145">IF(C145="","",IF(K145="Mort / Plus rien à faire","KO","OK"))</f>
        <v/>
      </c>
      <c r="M145" s="19">
</c>
      <c r="N145" s="14" cm="1" t="str">
        <f t="array" ref="N145">IF(OR(C145="",M145="",M145=0),"",M145)</f>
        <v/>
      </c>
      <c r="O145" s="19">
</c>
      <c r="P145" s="14" cm="1" t="str">
        <f t="array" ref="P145">IF(C145="","",IF(OR(O145="",O145=0),"-",O145))</f>
        <v/>
      </c>
      <c r="Q145" s="20">
</c>
      <c r="R145" s="9" cm="1" t="str">
        <f t="array" ref="R145">IF(C145="","",ROUND(Q145/1000000,3)&amp;" M€")</f>
        <v/>
      </c>
      <c r="S145" s="21">
</c>
      <c r="T145" s="9" cm="1" t="str">
        <f t="array" ref="T145">IF(C145="","",SUBSTITUTE(S145,"","")&amp;"%")</f>
        <v/>
      </c>
      <c r="U145" s="12" cm="1" t="str">
        <f t="array" ref="U145">IF(($N145="")*($P145=""),"",IF(($N145&lt;&gt;"")*($N145&gt;TODAY()-9)*($N145&lt;TODAY()+1)*($P145&lt;&gt;"")*($P145&gt;=TODAY())*($P145&lt;=TODAY()+13),"Semaine passée &amp; à venir",IF(($N145&lt;&gt;"")*($N145&gt;TODAY()-9)*($N145&lt;TODAY()+1),"Semaine passée",IF(($P145&lt;&gt;"")*($P145&gt;=TODAY())*($P145&lt;=TODAY()+13),"À venir","Autre"))))</f>
        <v/>
      </c>
      <c r="V145" cm="1" t="n">
        <f t="array" ref="V145">IF(C145&lt;&gt;"",1,0)</f>
        <v>0</v>
      </c>
    </row>
    <row r="146" ht="78.75" customHeight="1">
      <c r="A146" s="17">
</c>
      <c r="B146" s="13">
</c>
      <c r="C146" s="10">
</c>
      <c r="D146" s="18">
</c>
      <c r="E146" s="13">
</c>
      <c r="F146" s="13">
</c>
      <c r="G146" s="12" cm="1" t="str">
        <f t="array" ref="G146">IF(F146="","",SUBSTITUTE(SUBSTITUTE(SUBSTITUTE(SUBSTITUTE(F146,"&lt;li&gt;",CHAR(10)),"&lt;/li&gt;",""),"&lt;br&gt;",CHAR(10)),"&lt;strong&gt;",""))</f>
        <v/>
      </c>
      <c r="H146" s="12" cm="1" t="str">
        <f t="array" ref="H146">IF(G146="","",SUBSTITUTE(SUBSTITUTE(SUBSTITUTE(SUBSTITUTE(SUBSTITUTE(G146,"&lt;p&gt;",""),"&lt;/p&gt;",""),"&lt;ul&gt;",""),"&lt;/ul&gt;",""),"&lt;/strong&gt;",""))</f>
        <v/>
      </c>
      <c r="I146" s="12" cm="1" t="str">
        <f t="array" ref="I146">IF(C146="","",IF(OR(H146="",H146=0,H146=FALSE),"-",H146))</f>
        <v/>
      </c>
      <c r="J146" s="13">
</c>
      <c r="K146" s="13">
</c>
      <c r="L146" s="9" cm="1" t="str">
        <f t="array" ref="L146">IF(C146="","",IF(K146="Mort / Plus rien à faire","KO","OK"))</f>
        <v/>
      </c>
      <c r="M146" s="19">
</c>
      <c r="N146" s="14" cm="1" t="str">
        <f t="array" ref="N146">IF(OR(C146="",M146="",M146=0),"",M146)</f>
        <v/>
      </c>
      <c r="O146" s="19">
</c>
      <c r="P146" s="14" cm="1" t="str">
        <f t="array" ref="P146">IF(C146="","",IF(OR(O146="",O146=0),"-",O146))</f>
        <v/>
      </c>
      <c r="Q146" s="20">
</c>
      <c r="R146" s="9" cm="1" t="str">
        <f t="array" ref="R146">IF(C146="","",ROUND(Q146/1000000,3)&amp;" M€")</f>
        <v/>
      </c>
      <c r="S146" s="21">
</c>
      <c r="T146" s="9" cm="1" t="str">
        <f t="array" ref="T146">IF(C146="","",SUBSTITUTE(S146,"","")&amp;"%")</f>
        <v/>
      </c>
      <c r="U146" s="12" cm="1" t="str">
        <f t="array" ref="U146">IF(($N146="")*($P146=""),"",IF(($N146&lt;&gt;"")*($N146&gt;TODAY()-9)*($N146&lt;TODAY()+1)*($P146&lt;&gt;"")*($P146&gt;=TODAY())*($P146&lt;=TODAY()+13),"Semaine passée &amp; à venir",IF(($N146&lt;&gt;"")*($N146&gt;TODAY()-9)*($N146&lt;TODAY()+1),"Semaine passée",IF(($P146&lt;&gt;"")*($P146&gt;=TODAY())*($P146&lt;=TODAY()+13),"À venir","Autre"))))</f>
        <v/>
      </c>
      <c r="V146" cm="1" t="n">
        <f t="array" ref="V146">IF(C146&lt;&gt;"",1,0)</f>
        <v>0</v>
      </c>
    </row>
    <row r="147" ht="78.75" customHeight="1">
      <c r="A147" s="17">
</c>
      <c r="B147" s="13">
</c>
      <c r="C147" s="10">
</c>
      <c r="D147" s="18">
</c>
      <c r="E147" s="13">
</c>
      <c r="F147" s="13">
</c>
      <c r="G147" s="12" cm="1" t="str">
        <f t="array" ref="G147">IF(F147="","",SUBSTITUTE(SUBSTITUTE(SUBSTITUTE(SUBSTITUTE(F147,"&lt;li&gt;",CHAR(10)),"&lt;/li&gt;",""),"&lt;br&gt;",CHAR(10)),"&lt;strong&gt;",""))</f>
        <v/>
      </c>
      <c r="H147" s="12" cm="1" t="str">
        <f t="array" ref="H147">IF(G147="","",SUBSTITUTE(SUBSTITUTE(SUBSTITUTE(SUBSTITUTE(SUBSTITUTE(G147,"&lt;p&gt;",""),"&lt;/p&gt;",""),"&lt;ul&gt;",""),"&lt;/ul&gt;",""),"&lt;/strong&gt;",""))</f>
        <v/>
      </c>
      <c r="I147" s="12" cm="1" t="str">
        <f t="array" ref="I147">IF(C147="","",IF(OR(H147="",H147=0,H147=FALSE),"-",H147))</f>
        <v/>
      </c>
      <c r="J147" s="13">
</c>
      <c r="K147" s="13">
</c>
      <c r="L147" s="9" cm="1" t="str">
        <f t="array" ref="L147">IF(C147="","",IF(K147="Mort / Plus rien à faire","KO","OK"))</f>
        <v/>
      </c>
      <c r="M147" s="19">
</c>
      <c r="N147" s="14" cm="1" t="str">
        <f t="array" ref="N147">IF(OR(C147="",M147="",M147=0),"",M147)</f>
        <v/>
      </c>
      <c r="O147" s="19">
</c>
      <c r="P147" s="14" cm="1" t="str">
        <f t="array" ref="P147">IF(C147="","",IF(OR(O147="",O147=0),"-",O147))</f>
        <v/>
      </c>
      <c r="Q147" s="20">
</c>
      <c r="R147" s="9" cm="1" t="str">
        <f t="array" ref="R147">IF(C147="","",ROUND(Q147/1000000,3)&amp;" M€")</f>
        <v/>
      </c>
      <c r="S147" s="21">
</c>
      <c r="T147" s="9" cm="1" t="str">
        <f t="array" ref="T147">IF(C147="","",SUBSTITUTE(S147,"","")&amp;"%")</f>
        <v/>
      </c>
      <c r="U147" s="12" cm="1" t="str">
        <f t="array" ref="U147">IF(($N147="")*($P147=""),"",IF(($N147&lt;&gt;"")*($N147&gt;TODAY()-9)*($N147&lt;TODAY()+1)*($P147&lt;&gt;"")*($P147&gt;=TODAY())*($P147&lt;=TODAY()+13),"Semaine passée &amp; à venir",IF(($N147&lt;&gt;"")*($N147&gt;TODAY()-9)*($N147&lt;TODAY()+1),"Semaine passée",IF(($P147&lt;&gt;"")*($P147&gt;=TODAY())*($P147&lt;=TODAY()+13),"À venir","Autre"))))</f>
        <v/>
      </c>
      <c r="V147" cm="1" t="n">
        <f t="array" ref="V147">IF(C147&lt;&gt;"",1,0)</f>
        <v>0</v>
      </c>
    </row>
    <row r="148" ht="78.75" customHeight="1">
      <c r="A148" s="17">
</c>
      <c r="B148" s="13">
</c>
      <c r="C148" s="10">
</c>
      <c r="D148" s="18">
</c>
      <c r="E148" s="13">
</c>
      <c r="F148" s="13">
</c>
      <c r="G148" s="12" cm="1" t="str">
        <f t="array" ref="G148">IF(F148="","",SUBSTITUTE(SUBSTITUTE(SUBSTITUTE(SUBSTITUTE(F148,"&lt;li&gt;",CHAR(10)),"&lt;/li&gt;",""),"&lt;br&gt;",CHAR(10)),"&lt;strong&gt;",""))</f>
        <v/>
      </c>
      <c r="H148" s="12" cm="1" t="str">
        <f t="array" ref="H148">IF(G148="","",SUBSTITUTE(SUBSTITUTE(SUBSTITUTE(SUBSTITUTE(SUBSTITUTE(G148,"&lt;p&gt;",""),"&lt;/p&gt;",""),"&lt;ul&gt;",""),"&lt;/ul&gt;",""),"&lt;/strong&gt;",""))</f>
        <v/>
      </c>
      <c r="I148" s="12" cm="1" t="str">
        <f t="array" ref="I148">IF(C148="","",IF(OR(H148="",H148=0,H148=FALSE),"-",H148))</f>
        <v/>
      </c>
      <c r="J148" s="13">
</c>
      <c r="K148" s="13">
</c>
      <c r="L148" s="9" cm="1" t="str">
        <f t="array" ref="L148">IF(C148="","",IF(K148="Mort / Plus rien à faire","KO","OK"))</f>
        <v/>
      </c>
      <c r="M148" s="19">
</c>
      <c r="N148" s="14" cm="1" t="str">
        <f t="array" ref="N148">IF(OR(C148="",M148="",M148=0),"",M148)</f>
        <v/>
      </c>
      <c r="O148" s="19">
</c>
      <c r="P148" s="14" cm="1" t="str">
        <f t="array" ref="P148">IF(C148="","",IF(OR(O148="",O148=0),"-",O148))</f>
        <v/>
      </c>
      <c r="Q148" s="20">
</c>
      <c r="R148" s="9" cm="1" t="str">
        <f t="array" ref="R148">IF(C148="","",ROUND(Q148/1000000,3)&amp;" M€")</f>
        <v/>
      </c>
      <c r="S148" s="21">
</c>
      <c r="T148" s="9" cm="1" t="str">
        <f t="array" ref="T148">IF(C148="","",SUBSTITUTE(S148,"","")&amp;"%")</f>
        <v/>
      </c>
      <c r="U148" s="12" cm="1" t="str">
        <f t="array" ref="U148">IF(($N148="")*($P148=""),"",IF(($N148&lt;&gt;"")*($N148&gt;TODAY()-9)*($N148&lt;TODAY()+1)*($P148&lt;&gt;"")*($P148&gt;=TODAY())*($P148&lt;=TODAY()+13),"Semaine passée &amp; à venir",IF(($N148&lt;&gt;"")*($N148&gt;TODAY()-9)*($N148&lt;TODAY()+1),"Semaine passée",IF(($P148&lt;&gt;"")*($P148&gt;=TODAY())*($P148&lt;=TODAY()+13),"À venir","Autre"))))</f>
        <v/>
      </c>
      <c r="V148" cm="1" t="n">
        <f t="array" ref="V148">IF(C148&lt;&gt;"",1,0)</f>
        <v>0</v>
      </c>
    </row>
    <row r="149" ht="78.75" customHeight="1">
      <c r="A149" s="17">
</c>
      <c r="B149" s="13">
</c>
      <c r="C149" s="10">
</c>
      <c r="D149" s="18">
</c>
      <c r="E149" s="13">
</c>
      <c r="F149" s="13">
</c>
      <c r="G149" s="12" cm="1" t="str">
        <f t="array" ref="G149">IF(F149="","",SUBSTITUTE(SUBSTITUTE(SUBSTITUTE(SUBSTITUTE(F149,"&lt;li&gt;",CHAR(10)),"&lt;/li&gt;",""),"&lt;br&gt;",CHAR(10)),"&lt;strong&gt;",""))</f>
        <v/>
      </c>
      <c r="H149" s="12" cm="1" t="str">
        <f t="array" ref="H149">IF(G149="","",SUBSTITUTE(SUBSTITUTE(SUBSTITUTE(SUBSTITUTE(SUBSTITUTE(G149,"&lt;p&gt;",""),"&lt;/p&gt;",""),"&lt;ul&gt;",""),"&lt;/ul&gt;",""),"&lt;/strong&gt;",""))</f>
        <v/>
      </c>
      <c r="I149" s="12" cm="1" t="str">
        <f t="array" ref="I149">IF(C149="","",IF(OR(H149="",H149=0,H149=FALSE),"-",H149))</f>
        <v/>
      </c>
      <c r="J149" s="13">
</c>
      <c r="K149" s="13">
</c>
      <c r="L149" s="9" cm="1" t="str">
        <f t="array" ref="L149">IF(C149="","",IF(K149="Mort / Plus rien à faire","KO","OK"))</f>
        <v/>
      </c>
      <c r="M149" s="19">
</c>
      <c r="N149" s="14" cm="1" t="str">
        <f t="array" ref="N149">IF(OR(C149="",M149="",M149=0),"",M149)</f>
        <v/>
      </c>
      <c r="O149" s="19">
</c>
      <c r="P149" s="14" cm="1" t="str">
        <f t="array" ref="P149">IF(C149="","",IF(OR(O149="",O149=0),"-",O149))</f>
        <v/>
      </c>
      <c r="Q149" s="20">
</c>
      <c r="R149" s="9" cm="1" t="str">
        <f t="array" ref="R149">IF(C149="","",ROUND(Q149/1000000,3)&amp;" M€")</f>
        <v/>
      </c>
      <c r="S149" s="21">
</c>
      <c r="T149" s="9" cm="1" t="str">
        <f t="array" ref="T149">IF(C149="","",SUBSTITUTE(S149,"","")&amp;"%")</f>
        <v/>
      </c>
      <c r="U149" s="12" cm="1" t="str">
        <f t="array" ref="U149">IF(($N149="")*($P149=""),"",IF(($N149&lt;&gt;"")*($N149&gt;TODAY()-9)*($N149&lt;TODAY()+1)*($P149&lt;&gt;"")*($P149&gt;=TODAY())*($P149&lt;=TODAY()+13),"Semaine passée &amp; à venir",IF(($N149&lt;&gt;"")*($N149&gt;TODAY()-9)*($N149&lt;TODAY()+1),"Semaine passée",IF(($P149&lt;&gt;"")*($P149&gt;=TODAY())*($P149&lt;=TODAY()+13),"À venir","Autre"))))</f>
        <v/>
      </c>
      <c r="V149" cm="1" t="n">
        <f t="array" ref="V149">IF(C149&lt;&gt;"",1,0)</f>
        <v>0</v>
      </c>
    </row>
    <row r="150" ht="78.75" customHeight="1">
      <c r="A150" s="17">
</c>
      <c r="B150" s="13">
</c>
      <c r="C150" s="10">
</c>
      <c r="D150" s="18">
</c>
      <c r="E150" s="13">
</c>
      <c r="F150" s="13">
</c>
      <c r="G150" s="12" cm="1" t="str">
        <f t="array" ref="G150">IF(F150="","",SUBSTITUTE(SUBSTITUTE(SUBSTITUTE(SUBSTITUTE(F150,"&lt;li&gt;",CHAR(10)),"&lt;/li&gt;",""),"&lt;br&gt;",CHAR(10)),"&lt;strong&gt;",""))</f>
        <v/>
      </c>
      <c r="H150" s="12" cm="1" t="str">
        <f t="array" ref="H150">IF(G150="","",SUBSTITUTE(SUBSTITUTE(SUBSTITUTE(SUBSTITUTE(SUBSTITUTE(G150,"&lt;p&gt;",""),"&lt;/p&gt;",""),"&lt;ul&gt;",""),"&lt;/ul&gt;",""),"&lt;/strong&gt;",""))</f>
        <v/>
      </c>
      <c r="I150" s="12" cm="1" t="str">
        <f t="array" ref="I150">IF(C150="","",IF(OR(H150="",H150=0,H150=FALSE),"-",H150))</f>
        <v/>
      </c>
      <c r="J150" s="13">
</c>
      <c r="K150" s="13">
</c>
      <c r="L150" s="9" cm="1" t="str">
        <f t="array" ref="L150">IF(C150="","",IF(K150="Mort / Plus rien à faire","KO","OK"))</f>
        <v/>
      </c>
      <c r="M150" s="19">
</c>
      <c r="N150" s="14" cm="1" t="str">
        <f t="array" ref="N150">IF(OR(C150="",M150="",M150=0),"",M150)</f>
        <v/>
      </c>
      <c r="O150" s="19">
</c>
      <c r="P150" s="14" cm="1" t="str">
        <f t="array" ref="P150">IF(C150="","",IF(OR(O150="",O150=0),"-",O150))</f>
        <v/>
      </c>
      <c r="Q150" s="20">
</c>
      <c r="R150" s="9" cm="1" t="str">
        <f t="array" ref="R150">IF(C150="","",ROUND(Q150/1000000,3)&amp;" M€")</f>
        <v/>
      </c>
      <c r="S150" s="21">
</c>
      <c r="T150" s="9" cm="1" t="str">
        <f t="array" ref="T150">IF(C150="","",SUBSTITUTE(S150,"","")&amp;"%")</f>
        <v/>
      </c>
      <c r="U150" s="12" cm="1" t="str">
        <f t="array" ref="U150">IF(($N150="")*($P150=""),"",IF(($N150&lt;&gt;"")*($N150&gt;TODAY()-9)*($N150&lt;TODAY()+1)*($P150&lt;&gt;"")*($P150&gt;=TODAY())*($P150&lt;=TODAY()+13),"Semaine passée &amp; à venir",IF(($N150&lt;&gt;"")*($N150&gt;TODAY()-9)*($N150&lt;TODAY()+1),"Semaine passée",IF(($P150&lt;&gt;"")*($P150&gt;=TODAY())*($P150&lt;=TODAY()+13),"À venir","Autre"))))</f>
        <v/>
      </c>
      <c r="V150" cm="1" t="n">
        <f t="array" ref="V150">IF(C150&lt;&gt;"",1,0)</f>
        <v>0</v>
      </c>
    </row>
    <row r="151" ht="78.75" customHeight="1">
      <c r="A151" s="17">
</c>
      <c r="B151" s="13">
</c>
      <c r="C151" s="10">
</c>
      <c r="D151" s="18">
</c>
      <c r="E151" s="13">
</c>
      <c r="F151" s="13">
</c>
      <c r="G151" s="12" cm="1" t="str">
        <f t="array" ref="G151">IF(F151="","",SUBSTITUTE(SUBSTITUTE(SUBSTITUTE(SUBSTITUTE(F151,"&lt;li&gt;",CHAR(10)),"&lt;/li&gt;",""),"&lt;br&gt;",CHAR(10)),"&lt;strong&gt;",""))</f>
        <v/>
      </c>
      <c r="H151" s="12" cm="1" t="str">
        <f t="array" ref="H151">IF(G151="","",SUBSTITUTE(SUBSTITUTE(SUBSTITUTE(SUBSTITUTE(SUBSTITUTE(G151,"&lt;p&gt;",""),"&lt;/p&gt;",""),"&lt;ul&gt;",""),"&lt;/ul&gt;",""),"&lt;/strong&gt;",""))</f>
        <v/>
      </c>
      <c r="I151" s="12" cm="1" t="str">
        <f t="array" ref="I151">IF(C151="","",IF(OR(H151="",H151=0,H151=FALSE),"-",H151))</f>
        <v/>
      </c>
      <c r="J151" s="13">
</c>
      <c r="K151" s="13">
</c>
      <c r="L151" s="9" cm="1" t="str">
        <f t="array" ref="L151">IF(C151="","",IF(K151="Mort / Plus rien à faire","KO","OK"))</f>
        <v/>
      </c>
      <c r="M151" s="19">
</c>
      <c r="N151" s="14" cm="1" t="str">
        <f t="array" ref="N151">IF(OR(C151="",M151="",M151=0),"",M151)</f>
        <v/>
      </c>
      <c r="O151" s="19">
</c>
      <c r="P151" s="14" cm="1" t="str">
        <f t="array" ref="P151">IF(C151="","",IF(OR(O151="",O151=0),"-",O151))</f>
        <v/>
      </c>
      <c r="Q151" s="20">
</c>
      <c r="R151" s="9" cm="1" t="str">
        <f t="array" ref="R151">IF(C151="","",ROUND(Q151/1000000,3)&amp;" M€")</f>
        <v/>
      </c>
      <c r="S151" s="21">
</c>
      <c r="T151" s="9" cm="1" t="str">
        <f t="array" ref="T151">IF(C151="","",SUBSTITUTE(S151,"","")&amp;"%")</f>
        <v/>
      </c>
      <c r="U151" s="12" cm="1" t="str">
        <f t="array" ref="U151">IF(($N151="")*($P151=""),"",IF(($N151&lt;&gt;"")*($N151&gt;TODAY()-9)*($N151&lt;TODAY()+1)*($P151&lt;&gt;"")*($P151&gt;=TODAY())*($P151&lt;=TODAY()+13),"Semaine passée &amp; à venir",IF(($N151&lt;&gt;"")*($N151&gt;TODAY()-9)*($N151&lt;TODAY()+1),"Semaine passée",IF(($P151&lt;&gt;"")*($P151&gt;=TODAY())*($P151&lt;=TODAY()+13),"À venir","Autre"))))</f>
        <v/>
      </c>
      <c r="V151" cm="1" t="n">
        <f t="array" ref="V151">IF(C151&lt;&gt;"",1,0)</f>
        <v>0</v>
      </c>
    </row>
    <row r="152" ht="78.75" customHeight="1">
      <c r="A152" s="17">
</c>
      <c r="B152" s="13">
</c>
      <c r="C152" s="10">
</c>
      <c r="D152" s="18">
</c>
      <c r="E152" s="13">
</c>
      <c r="F152" s="13">
</c>
      <c r="G152" s="12" cm="1" t="str">
        <f t="array" ref="G152">IF(F152="","",SUBSTITUTE(SUBSTITUTE(SUBSTITUTE(SUBSTITUTE(F152,"&lt;li&gt;",CHAR(10)),"&lt;/li&gt;",""),"&lt;br&gt;",CHAR(10)),"&lt;strong&gt;",""))</f>
        <v/>
      </c>
      <c r="H152" s="12" cm="1" t="str">
        <f t="array" ref="H152">IF(G152="","",SUBSTITUTE(SUBSTITUTE(SUBSTITUTE(SUBSTITUTE(SUBSTITUTE(G152,"&lt;p&gt;",""),"&lt;/p&gt;",""),"&lt;ul&gt;",""),"&lt;/ul&gt;",""),"&lt;/strong&gt;",""))</f>
        <v/>
      </c>
      <c r="I152" s="12" cm="1" t="str">
        <f t="array" ref="I152">IF(C152="","",IF(OR(H152="",H152=0,H152=FALSE),"-",H152))</f>
        <v/>
      </c>
      <c r="J152" s="13">
</c>
      <c r="K152" s="13">
</c>
      <c r="L152" s="9" cm="1" t="str">
        <f t="array" ref="L152">IF(C152="","",IF(K152="Mort / Plus rien à faire","KO","OK"))</f>
        <v/>
      </c>
      <c r="M152" s="19">
</c>
      <c r="N152" s="14" cm="1" t="str">
        <f t="array" ref="N152">IF(OR(C152="",M152="",M152=0),"",M152)</f>
        <v/>
      </c>
      <c r="O152" s="19">
</c>
      <c r="P152" s="14" cm="1" t="str">
        <f t="array" ref="P152">IF(C152="","",IF(OR(O152="",O152=0),"-",O152))</f>
        <v/>
      </c>
      <c r="Q152" s="20">
</c>
      <c r="R152" s="9" cm="1" t="str">
        <f t="array" ref="R152">IF(C152="","",ROUND(Q152/1000000,3)&amp;" M€")</f>
        <v/>
      </c>
      <c r="S152" s="21">
</c>
      <c r="T152" s="9" cm="1" t="str">
        <f t="array" ref="T152">IF(C152="","",SUBSTITUTE(S152,"","")&amp;"%")</f>
        <v/>
      </c>
      <c r="U152" s="12" cm="1" t="str">
        <f t="array" ref="U152">IF(($N152="")*($P152=""),"",IF(($N152&lt;&gt;"")*($N152&gt;TODAY()-9)*($N152&lt;TODAY()+1)*($P152&lt;&gt;"")*($P152&gt;=TODAY())*($P152&lt;=TODAY()+13),"Semaine passée &amp; à venir",IF(($N152&lt;&gt;"")*($N152&gt;TODAY()-9)*($N152&lt;TODAY()+1),"Semaine passée",IF(($P152&lt;&gt;"")*($P152&gt;=TODAY())*($P152&lt;=TODAY()+13),"À venir","Autre"))))</f>
        <v/>
      </c>
      <c r="V152" cm="1" t="n">
        <f t="array" ref="V152">IF(C152&lt;&gt;"",1,0)</f>
        <v>0</v>
      </c>
    </row>
    <row r="153" ht="78.75" customHeight="1">
      <c r="A153" s="17">
</c>
      <c r="B153" s="13">
</c>
      <c r="C153" s="10">
</c>
      <c r="D153" s="18">
</c>
      <c r="E153" s="13">
</c>
      <c r="F153" s="13">
</c>
      <c r="G153" s="12" cm="1" t="str">
        <f t="array" ref="G153">IF(F153="","",SUBSTITUTE(SUBSTITUTE(SUBSTITUTE(SUBSTITUTE(F153,"&lt;li&gt;",CHAR(10)),"&lt;/li&gt;",""),"&lt;br&gt;",CHAR(10)),"&lt;strong&gt;",""))</f>
        <v/>
      </c>
      <c r="H153" s="12" cm="1" t="str">
        <f t="array" ref="H153">IF(G153="","",SUBSTITUTE(SUBSTITUTE(SUBSTITUTE(SUBSTITUTE(SUBSTITUTE(G153,"&lt;p&gt;",""),"&lt;/p&gt;",""),"&lt;ul&gt;",""),"&lt;/ul&gt;",""),"&lt;/strong&gt;",""))</f>
        <v/>
      </c>
      <c r="I153" s="12" cm="1" t="str">
        <f t="array" ref="I153">IF(C153="","",IF(OR(H153="",H153=0,H153=FALSE),"-",H153))</f>
        <v/>
      </c>
      <c r="J153" s="13">
</c>
      <c r="K153" s="13">
</c>
      <c r="L153" s="9" cm="1" t="str">
        <f t="array" ref="L153">IF(C153="","",IF(K153="Mort / Plus rien à faire","KO","OK"))</f>
        <v/>
      </c>
      <c r="M153" s="19">
</c>
      <c r="N153" s="14" cm="1" t="str">
        <f t="array" ref="N153">IF(OR(C153="",M153="",M153=0),"",M153)</f>
        <v/>
      </c>
      <c r="O153" s="19">
</c>
      <c r="P153" s="14" cm="1" t="str">
        <f t="array" ref="P153">IF(C153="","",IF(OR(O153="",O153=0),"-",O153))</f>
        <v/>
      </c>
      <c r="Q153" s="20">
</c>
      <c r="R153" s="9" cm="1" t="str">
        <f t="array" ref="R153">IF(C153="","",ROUND(Q153/1000000,3)&amp;" M€")</f>
        <v/>
      </c>
      <c r="S153" s="21">
</c>
      <c r="T153" s="9" cm="1" t="str">
        <f t="array" ref="T153">IF(C153="","",SUBSTITUTE(S153,"","")&amp;"%")</f>
        <v/>
      </c>
      <c r="U153" s="12" cm="1" t="str">
        <f t="array" ref="U153">IF(($N153="")*($P153=""),"",IF(($N153&lt;&gt;"")*($N153&gt;TODAY()-9)*($N153&lt;TODAY()+1)*($P153&lt;&gt;"")*($P153&gt;=TODAY())*($P153&lt;=TODAY()+13),"Semaine passée &amp; à venir",IF(($N153&lt;&gt;"")*($N153&gt;TODAY()-9)*($N153&lt;TODAY()+1),"Semaine passée",IF(($P153&lt;&gt;"")*($P153&gt;=TODAY())*($P153&lt;=TODAY()+13),"À venir","Autre"))))</f>
        <v/>
      </c>
      <c r="V153" cm="1" t="n">
        <f t="array" ref="V153">IF(C153&lt;&gt;"",1,0)</f>
        <v>0</v>
      </c>
    </row>
    <row r="154" ht="78.75" customHeight="1">
      <c r="A154" s="17">
</c>
      <c r="B154" s="13">
</c>
      <c r="C154" s="10">
</c>
      <c r="D154" s="18">
</c>
      <c r="E154" s="13">
</c>
      <c r="F154" s="13">
</c>
      <c r="G154" s="12" cm="1" t="str">
        <f t="array" ref="G154">IF(F154="","",SUBSTITUTE(SUBSTITUTE(SUBSTITUTE(SUBSTITUTE(F154,"&lt;li&gt;",CHAR(10)),"&lt;/li&gt;",""),"&lt;br&gt;",CHAR(10)),"&lt;strong&gt;",""))</f>
        <v/>
      </c>
      <c r="H154" s="12" cm="1" t="str">
        <f t="array" ref="H154">IF(G154="","",SUBSTITUTE(SUBSTITUTE(SUBSTITUTE(SUBSTITUTE(SUBSTITUTE(G154,"&lt;p&gt;",""),"&lt;/p&gt;",""),"&lt;ul&gt;",""),"&lt;/ul&gt;",""),"&lt;/strong&gt;",""))</f>
        <v/>
      </c>
      <c r="I154" s="12" cm="1" t="str">
        <f t="array" ref="I154">IF(C154="","",IF(OR(H154="",H154=0,H154=FALSE),"-",H154))</f>
        <v/>
      </c>
      <c r="J154" s="13">
</c>
      <c r="K154" s="13">
</c>
      <c r="L154" s="9" cm="1" t="str">
        <f t="array" ref="L154">IF(C154="","",IF(K154="Mort / Plus rien à faire","KO","OK"))</f>
        <v/>
      </c>
      <c r="M154" s="19">
</c>
      <c r="N154" s="14" cm="1" t="str">
        <f t="array" ref="N154">IF(OR(C154="",M154="",M154=0),"",M154)</f>
        <v/>
      </c>
      <c r="O154" s="19">
</c>
      <c r="P154" s="14" cm="1" t="str">
        <f t="array" ref="P154">IF(C154="","",IF(OR(O154="",O154=0),"-",O154))</f>
        <v/>
      </c>
      <c r="Q154" s="20">
</c>
      <c r="R154" s="9" cm="1" t="str">
        <f t="array" ref="R154">IF(C154="","",ROUND(Q154/1000000,3)&amp;" M€")</f>
        <v/>
      </c>
      <c r="S154" s="21">
</c>
      <c r="T154" s="9" cm="1" t="str">
        <f t="array" ref="T154">IF(C154="","",SUBSTITUTE(S154,"","")&amp;"%")</f>
        <v/>
      </c>
      <c r="U154" s="12" cm="1" t="str">
        <f t="array" ref="U154">IF(($N154="")*($P154=""),"",IF(($N154&lt;&gt;"")*($N154&gt;TODAY()-9)*($N154&lt;TODAY()+1)*($P154&lt;&gt;"")*($P154&gt;=TODAY())*($P154&lt;=TODAY()+13),"Semaine passée &amp; à venir",IF(($N154&lt;&gt;"")*($N154&gt;TODAY()-9)*($N154&lt;TODAY()+1),"Semaine passée",IF(($P154&lt;&gt;"")*($P154&gt;=TODAY())*($P154&lt;=TODAY()+13),"À venir","Autre"))))</f>
        <v/>
      </c>
      <c r="V154" cm="1" t="n">
        <f t="array" ref="V154">IF(C154&lt;&gt;"",1,0)</f>
        <v>0</v>
      </c>
    </row>
    <row r="155" ht="78.75" customHeight="1">
      <c r="A155" s="17">
</c>
      <c r="B155" s="13">
</c>
      <c r="C155" s="10">
</c>
      <c r="D155" s="18">
</c>
      <c r="E155" s="13">
</c>
      <c r="F155" s="13">
</c>
      <c r="G155" s="12" cm="1" t="str">
        <f t="array" ref="G155">IF(F155="","",SUBSTITUTE(SUBSTITUTE(SUBSTITUTE(SUBSTITUTE(F155,"&lt;li&gt;",CHAR(10)),"&lt;/li&gt;",""),"&lt;br&gt;",CHAR(10)),"&lt;strong&gt;",""))</f>
        <v/>
      </c>
      <c r="H155" s="12" cm="1" t="str">
        <f t="array" ref="H155">IF(G155="","",SUBSTITUTE(SUBSTITUTE(SUBSTITUTE(SUBSTITUTE(SUBSTITUTE(G155,"&lt;p&gt;",""),"&lt;/p&gt;",""),"&lt;ul&gt;",""),"&lt;/ul&gt;",""),"&lt;/strong&gt;",""))</f>
        <v/>
      </c>
      <c r="I155" s="12" cm="1" t="str">
        <f t="array" ref="I155">IF(C155="","",IF(OR(H155="",H155=0,H155=FALSE),"-",H155))</f>
        <v/>
      </c>
      <c r="J155" s="13">
</c>
      <c r="K155" s="13">
</c>
      <c r="L155" s="9" cm="1" t="str">
        <f t="array" ref="L155">IF(C155="","",IF(K155="Mort / Plus rien à faire","KO","OK"))</f>
        <v/>
      </c>
      <c r="M155" s="19">
</c>
      <c r="N155" s="14" cm="1" t="str">
        <f t="array" ref="N155">IF(OR(C155="",M155="",M155=0),"",M155)</f>
        <v/>
      </c>
      <c r="O155" s="19">
</c>
      <c r="P155" s="14" cm="1" t="str">
        <f t="array" ref="P155">IF(C155="","",IF(OR(O155="",O155=0),"-",O155))</f>
        <v/>
      </c>
      <c r="Q155" s="20">
</c>
      <c r="R155" s="9" cm="1" t="str">
        <f t="array" ref="R155">IF(C155="","",ROUND(Q155/1000000,3)&amp;" M€")</f>
        <v/>
      </c>
      <c r="S155" s="21">
</c>
      <c r="T155" s="9" cm="1" t="str">
        <f t="array" ref="T155">IF(C155="","",SUBSTITUTE(S155,"","")&amp;"%")</f>
        <v/>
      </c>
      <c r="U155" s="12" cm="1" t="str">
        <f t="array" ref="U155">IF(($N155="")*($P155=""),"",IF(($N155&lt;&gt;"")*($N155&gt;TODAY()-9)*($N155&lt;TODAY()+1)*($P155&lt;&gt;"")*($P155&gt;=TODAY())*($P155&lt;=TODAY()+13),"Semaine passée &amp; à venir",IF(($N155&lt;&gt;"")*($N155&gt;TODAY()-9)*($N155&lt;TODAY()+1),"Semaine passée",IF(($P155&lt;&gt;"")*($P155&gt;=TODAY())*($P155&lt;=TODAY()+13),"À venir","Autre"))))</f>
        <v/>
      </c>
      <c r="V155" cm="1" t="n">
        <f t="array" ref="V155">IF(C155&lt;&gt;"",1,0)</f>
        <v>0</v>
      </c>
    </row>
    <row r="156" ht="78.75" customHeight="1">
      <c r="A156" s="17">
</c>
      <c r="B156" s="13">
</c>
      <c r="C156" s="10">
</c>
      <c r="D156" s="18">
</c>
      <c r="E156" s="13">
</c>
      <c r="F156" s="13">
</c>
      <c r="G156" s="12" cm="1" t="str">
        <f t="array" ref="G156">IF(F156="","",SUBSTITUTE(SUBSTITUTE(SUBSTITUTE(SUBSTITUTE(F156,"&lt;li&gt;",CHAR(10)),"&lt;/li&gt;",""),"&lt;br&gt;",CHAR(10)),"&lt;strong&gt;",""))</f>
        <v/>
      </c>
      <c r="H156" s="12" cm="1" t="str">
        <f t="array" ref="H156">IF(G156="","",SUBSTITUTE(SUBSTITUTE(SUBSTITUTE(SUBSTITUTE(SUBSTITUTE(G156,"&lt;p&gt;",""),"&lt;/p&gt;",""),"&lt;ul&gt;",""),"&lt;/ul&gt;",""),"&lt;/strong&gt;",""))</f>
        <v/>
      </c>
      <c r="I156" s="12" cm="1" t="str">
        <f t="array" ref="I156">IF(C156="","",IF(OR(H156="",H156=0,H156=FALSE),"-",H156))</f>
        <v/>
      </c>
      <c r="J156" s="13">
</c>
      <c r="K156" s="13">
</c>
      <c r="L156" s="9" cm="1" t="str">
        <f t="array" ref="L156">IF(C156="","",IF(K156="Mort / Plus rien à faire","KO","OK"))</f>
        <v/>
      </c>
      <c r="M156" s="19">
</c>
      <c r="N156" s="14" cm="1" t="str">
        <f t="array" ref="N156">IF(OR(C156="",M156="",M156=0),"",M156)</f>
        <v/>
      </c>
      <c r="O156" s="19">
</c>
      <c r="P156" s="14" cm="1" t="str">
        <f t="array" ref="P156">IF(C156="","",IF(OR(O156="",O156=0),"-",O156))</f>
        <v/>
      </c>
      <c r="Q156" s="20">
</c>
      <c r="R156" s="9" cm="1" t="str">
        <f t="array" ref="R156">IF(C156="","",ROUND(Q156/1000000,3)&amp;" M€")</f>
        <v/>
      </c>
      <c r="S156" s="21">
</c>
      <c r="T156" s="9" cm="1" t="str">
        <f t="array" ref="T156">IF(C156="","",SUBSTITUTE(S156,"","")&amp;"%")</f>
        <v/>
      </c>
      <c r="U156" s="12" cm="1" t="str">
        <f t="array" ref="U156">IF(($N156="")*($P156=""),"",IF(($N156&lt;&gt;"")*($N156&gt;TODAY()-9)*($N156&lt;TODAY()+1)*($P156&lt;&gt;"")*($P156&gt;=TODAY())*($P156&lt;=TODAY()+13),"Semaine passée &amp; à venir",IF(($N156&lt;&gt;"")*($N156&gt;TODAY()-9)*($N156&lt;TODAY()+1),"Semaine passée",IF(($P156&lt;&gt;"")*($P156&gt;=TODAY())*($P156&lt;=TODAY()+13),"À venir","Autre"))))</f>
        <v/>
      </c>
      <c r="V156" cm="1" t="n">
        <f t="array" ref="V156">IF(C156&lt;&gt;"",1,0)</f>
        <v>0</v>
      </c>
    </row>
    <row r="157" ht="78.75" customHeight="1">
      <c r="A157" s="17">
</c>
      <c r="B157" s="13">
</c>
      <c r="C157" s="10">
</c>
      <c r="D157" s="18">
</c>
      <c r="E157" s="13">
</c>
      <c r="F157" s="13">
</c>
      <c r="G157" s="12" cm="1" t="str">
        <f t="array" ref="G157">IF(F157="","",SUBSTITUTE(SUBSTITUTE(SUBSTITUTE(SUBSTITUTE(F157,"&lt;li&gt;",CHAR(10)),"&lt;/li&gt;",""),"&lt;br&gt;",CHAR(10)),"&lt;strong&gt;",""))</f>
        <v/>
      </c>
      <c r="H157" s="12" cm="1" t="str">
        <f t="array" ref="H157">IF(G157="","",SUBSTITUTE(SUBSTITUTE(SUBSTITUTE(SUBSTITUTE(SUBSTITUTE(G157,"&lt;p&gt;",""),"&lt;/p&gt;",""),"&lt;ul&gt;",""),"&lt;/ul&gt;",""),"&lt;/strong&gt;",""))</f>
        <v/>
      </c>
      <c r="I157" s="12" cm="1" t="str">
        <f t="array" ref="I157">IF(C157="","",IF(OR(H157="",H157=0,H157=FALSE),"-",H157))</f>
        <v/>
      </c>
      <c r="J157" s="13">
</c>
      <c r="K157" s="13">
</c>
      <c r="L157" s="9" cm="1" t="str">
        <f t="array" ref="L157">IF(C157="","",IF(K157="Mort / Plus rien à faire","KO","OK"))</f>
        <v/>
      </c>
      <c r="M157" s="19">
</c>
      <c r="N157" s="14" cm="1" t="str">
        <f t="array" ref="N157">IF(OR(C157="",M157="",M157=0),"",M157)</f>
        <v/>
      </c>
      <c r="O157" s="19">
</c>
      <c r="P157" s="14" cm="1" t="str">
        <f t="array" ref="P157">IF(C157="","",IF(OR(O157="",O157=0),"-",O157))</f>
        <v/>
      </c>
      <c r="Q157" s="20">
</c>
      <c r="R157" s="9" cm="1" t="str">
        <f t="array" ref="R157">IF(C157="","",ROUND(Q157/1000000,3)&amp;" M€")</f>
        <v/>
      </c>
      <c r="S157" s="21">
</c>
      <c r="T157" s="9" cm="1" t="str">
        <f t="array" ref="T157">IF(C157="","",SUBSTITUTE(S157,"","")&amp;"%")</f>
        <v/>
      </c>
      <c r="U157" s="12" cm="1" t="str">
        <f t="array" ref="U157">IF(($N157="")*($P157=""),"",IF(($N157&lt;&gt;"")*($N157&gt;TODAY()-9)*($N157&lt;TODAY()+1)*($P157&lt;&gt;"")*($P157&gt;=TODAY())*($P157&lt;=TODAY()+13),"Semaine passée &amp; à venir",IF(($N157&lt;&gt;"")*($N157&gt;TODAY()-9)*($N157&lt;TODAY()+1),"Semaine passée",IF(($P157&lt;&gt;"")*($P157&gt;=TODAY())*($P157&lt;=TODAY()+13),"À venir","Autre"))))</f>
        <v/>
      </c>
      <c r="V157" cm="1" t="n">
        <f t="array" ref="V157">IF(C157&lt;&gt;"",1,0)</f>
        <v>0</v>
      </c>
    </row>
    <row r="158" ht="78.75" customHeight="1">
      <c r="A158" s="17">
</c>
      <c r="B158" s="13">
</c>
      <c r="C158" s="10">
</c>
      <c r="D158" s="18">
</c>
      <c r="E158" s="13">
</c>
      <c r="F158" s="13">
</c>
      <c r="G158" s="12" cm="1" t="str">
        <f t="array" ref="G158">IF(F158="","",SUBSTITUTE(SUBSTITUTE(SUBSTITUTE(SUBSTITUTE(F158,"&lt;li&gt;",CHAR(10)),"&lt;/li&gt;",""),"&lt;br&gt;",CHAR(10)),"&lt;strong&gt;",""))</f>
        <v/>
      </c>
      <c r="H158" s="12" cm="1" t="str">
        <f t="array" ref="H158">IF(G158="","",SUBSTITUTE(SUBSTITUTE(SUBSTITUTE(SUBSTITUTE(SUBSTITUTE(G158,"&lt;p&gt;",""),"&lt;/p&gt;",""),"&lt;ul&gt;",""),"&lt;/ul&gt;",""),"&lt;/strong&gt;",""))</f>
        <v/>
      </c>
      <c r="I158" s="12" cm="1" t="str">
        <f t="array" ref="I158">IF(C158="","",IF(OR(H158="",H158=0,H158=FALSE),"-",H158))</f>
        <v/>
      </c>
      <c r="J158" s="13">
</c>
      <c r="K158" s="13">
</c>
      <c r="L158" s="9" cm="1" t="str">
        <f t="array" ref="L158">IF(C158="","",IF(K158="Mort / Plus rien à faire","KO","OK"))</f>
        <v/>
      </c>
      <c r="M158" s="19">
</c>
      <c r="N158" s="14" cm="1" t="str">
        <f t="array" ref="N158">IF(OR(C158="",M158="",M158=0),"",M158)</f>
        <v/>
      </c>
      <c r="O158" s="19">
</c>
      <c r="P158" s="14" cm="1" t="str">
        <f t="array" ref="P158">IF(C158="","",IF(OR(O158="",O158=0),"-",O158))</f>
        <v/>
      </c>
      <c r="Q158" s="20">
</c>
      <c r="R158" s="9" cm="1" t="str">
        <f t="array" ref="R158">IF(C158="","",ROUND(Q158/1000000,3)&amp;" M€")</f>
        <v/>
      </c>
      <c r="S158" s="21">
</c>
      <c r="T158" s="9" cm="1" t="str">
        <f t="array" ref="T158">IF(C158="","",SUBSTITUTE(S158,"","")&amp;"%")</f>
        <v/>
      </c>
      <c r="U158" s="12" cm="1" t="str">
        <f t="array" ref="U158">IF(($N158="")*($P158=""),"",IF(($N158&lt;&gt;"")*($N158&gt;TODAY()-9)*($N158&lt;TODAY()+1)*($P158&lt;&gt;"")*($P158&gt;=TODAY())*($P158&lt;=TODAY()+13),"Semaine passée &amp; à venir",IF(($N158&lt;&gt;"")*($N158&gt;TODAY()-9)*($N158&lt;TODAY()+1),"Semaine passée",IF(($P158&lt;&gt;"")*($P158&gt;=TODAY())*($P158&lt;=TODAY()+13),"À venir","Autre"))))</f>
        <v/>
      </c>
      <c r="V158" cm="1" t="n">
        <f t="array" ref="V158">IF(C158&lt;&gt;"",1,0)</f>
        <v>0</v>
      </c>
    </row>
    <row r="159" ht="78.75" customHeight="1">
      <c r="A159" s="17">
</c>
      <c r="B159" s="13">
</c>
      <c r="C159" s="10">
</c>
      <c r="D159" s="18">
</c>
      <c r="E159" s="13">
</c>
      <c r="F159" s="13">
</c>
      <c r="G159" s="12" cm="1" t="str">
        <f t="array" ref="G159">IF(F159="","",SUBSTITUTE(SUBSTITUTE(SUBSTITUTE(SUBSTITUTE(F159,"&lt;li&gt;",CHAR(10)),"&lt;/li&gt;",""),"&lt;br&gt;",CHAR(10)),"&lt;strong&gt;",""))</f>
        <v/>
      </c>
      <c r="H159" s="12" cm="1" t="str">
        <f t="array" ref="H159">IF(G159="","",SUBSTITUTE(SUBSTITUTE(SUBSTITUTE(SUBSTITUTE(SUBSTITUTE(G159,"&lt;p&gt;",""),"&lt;/p&gt;",""),"&lt;ul&gt;",""),"&lt;/ul&gt;",""),"&lt;/strong&gt;",""))</f>
        <v/>
      </c>
      <c r="I159" s="12" cm="1" t="str">
        <f t="array" ref="I159">IF(C159="","",IF(OR(H159="",H159=0,H159=FALSE),"-",H159))</f>
        <v/>
      </c>
      <c r="J159" s="13">
</c>
      <c r="K159" s="13">
</c>
      <c r="L159" s="9" cm="1" t="str">
        <f t="array" ref="L159">IF(C159="","",IF(K159="Mort / Plus rien à faire","KO","OK"))</f>
        <v/>
      </c>
      <c r="M159" s="19">
</c>
      <c r="N159" s="14" cm="1" t="str">
        <f t="array" ref="N159">IF(OR(C159="",M159="",M159=0),"",M159)</f>
        <v/>
      </c>
      <c r="O159" s="19">
</c>
      <c r="P159" s="14" cm="1" t="str">
        <f t="array" ref="P159">IF(C159="","",IF(OR(O159="",O159=0),"-",O159))</f>
        <v/>
      </c>
      <c r="Q159" s="20">
</c>
      <c r="R159" s="9" cm="1" t="str">
        <f t="array" ref="R159">IF(C159="","",ROUND(Q159/1000000,3)&amp;" M€")</f>
        <v/>
      </c>
      <c r="S159" s="21">
</c>
      <c r="T159" s="9" cm="1" t="str">
        <f t="array" ref="T159">IF(C159="","",SUBSTITUTE(S159,"","")&amp;"%")</f>
        <v/>
      </c>
      <c r="U159" s="12" cm="1" t="str">
        <f t="array" ref="U159">IF(($N159="")*($P159=""),"",IF(($N159&lt;&gt;"")*($N159&gt;TODAY()-9)*($N159&lt;TODAY()+1)*($P159&lt;&gt;"")*($P159&gt;=TODAY())*($P159&lt;=TODAY()+13),"Semaine passée &amp; à venir",IF(($N159&lt;&gt;"")*($N159&gt;TODAY()-9)*($N159&lt;TODAY()+1),"Semaine passée",IF(($P159&lt;&gt;"")*($P159&gt;=TODAY())*($P159&lt;=TODAY()+13),"À venir","Autre"))))</f>
        <v/>
      </c>
      <c r="V159" cm="1" t="n">
        <f t="array" ref="V159">IF(C159&lt;&gt;"",1,0)</f>
        <v>0</v>
      </c>
    </row>
    <row r="160" ht="78.75" customHeight="1">
      <c r="A160" s="17">
</c>
      <c r="B160" s="13">
</c>
      <c r="C160" s="10">
</c>
      <c r="D160" s="18">
</c>
      <c r="E160" s="13">
</c>
      <c r="F160" s="13">
</c>
      <c r="G160" s="12" cm="1" t="str">
        <f t="array" ref="G160">IF(F160="","",SUBSTITUTE(SUBSTITUTE(SUBSTITUTE(SUBSTITUTE(F160,"&lt;li&gt;",CHAR(10)),"&lt;/li&gt;",""),"&lt;br&gt;",CHAR(10)),"&lt;strong&gt;",""))</f>
        <v/>
      </c>
      <c r="H160" s="12" cm="1" t="str">
        <f t="array" ref="H160">IF(G160="","",SUBSTITUTE(SUBSTITUTE(SUBSTITUTE(SUBSTITUTE(SUBSTITUTE(G160,"&lt;p&gt;",""),"&lt;/p&gt;",""),"&lt;ul&gt;",""),"&lt;/ul&gt;",""),"&lt;/strong&gt;",""))</f>
        <v/>
      </c>
      <c r="I160" s="12" cm="1" t="str">
        <f t="array" ref="I160">IF(C160="","",IF(OR(H160="",H160=0,H160=FALSE),"-",H160))</f>
        <v/>
      </c>
      <c r="J160" s="13">
</c>
      <c r="K160" s="13">
</c>
      <c r="L160" s="9" cm="1" t="str">
        <f t="array" ref="L160">IF(C160="","",IF(K160="Mort / Plus rien à faire","KO","OK"))</f>
        <v/>
      </c>
      <c r="M160" s="19">
</c>
      <c r="N160" s="14" cm="1" t="str">
        <f t="array" ref="N160">IF(OR(C160="",M160="",M160=0),"",M160)</f>
        <v/>
      </c>
      <c r="O160" s="19">
</c>
      <c r="P160" s="14" cm="1" t="str">
        <f t="array" ref="P160">IF(C160="","",IF(OR(O160="",O160=0),"-",O160))</f>
        <v/>
      </c>
      <c r="Q160" s="20">
</c>
      <c r="R160" s="9" cm="1" t="str">
        <f t="array" ref="R160">IF(C160="","",ROUND(Q160/1000000,3)&amp;" M€")</f>
        <v/>
      </c>
      <c r="S160" s="21">
</c>
      <c r="T160" s="9" cm="1" t="str">
        <f t="array" ref="T160">IF(C160="","",SUBSTITUTE(S160,"","")&amp;"%")</f>
        <v/>
      </c>
      <c r="U160" s="12" cm="1" t="str">
        <f t="array" ref="U160">IF(($N160="")*($P160=""),"",IF(($N160&lt;&gt;"")*($N160&gt;TODAY()-9)*($N160&lt;TODAY()+1)*($P160&lt;&gt;"")*($P160&gt;=TODAY())*($P160&lt;=TODAY()+13),"Semaine passée &amp; à venir",IF(($N160&lt;&gt;"")*($N160&gt;TODAY()-9)*($N160&lt;TODAY()+1),"Semaine passée",IF(($P160&lt;&gt;"")*($P160&gt;=TODAY())*($P160&lt;=TODAY()+13),"À venir","Autre"))))</f>
        <v/>
      </c>
      <c r="V160" cm="1" t="n">
        <f t="array" ref="V160">IF(C160&lt;&gt;"",1,0)</f>
        <v>0</v>
      </c>
    </row>
    <row r="161" ht="78.75" customHeight="1">
      <c r="A161" s="17">
</c>
      <c r="B161" s="13">
</c>
      <c r="C161" s="10">
</c>
      <c r="D161" s="18">
</c>
      <c r="E161" s="13">
</c>
      <c r="F161" s="13">
</c>
      <c r="G161" s="12" cm="1" t="str">
        <f t="array" ref="G161">IF(F161="","",SUBSTITUTE(SUBSTITUTE(SUBSTITUTE(SUBSTITUTE(F161,"&lt;li&gt;",CHAR(10)),"&lt;/li&gt;",""),"&lt;br&gt;",CHAR(10)),"&lt;strong&gt;",""))</f>
        <v/>
      </c>
      <c r="H161" s="12" cm="1" t="str">
        <f t="array" ref="H161">IF(G161="","",SUBSTITUTE(SUBSTITUTE(SUBSTITUTE(SUBSTITUTE(SUBSTITUTE(G161,"&lt;p&gt;",""),"&lt;/p&gt;",""),"&lt;ul&gt;",""),"&lt;/ul&gt;",""),"&lt;/strong&gt;",""))</f>
        <v/>
      </c>
      <c r="I161" s="12" cm="1" t="str">
        <f t="array" ref="I161">IF(C161="","",IF(OR(H161="",H161=0,H161=FALSE),"-",H161))</f>
        <v/>
      </c>
      <c r="J161" s="13">
</c>
      <c r="K161" s="13">
</c>
      <c r="L161" s="9" cm="1" t="str">
        <f t="array" ref="L161">IF(C161="","",IF(K161="Mort / Plus rien à faire","KO","OK"))</f>
        <v/>
      </c>
      <c r="M161" s="19">
</c>
      <c r="N161" s="14" cm="1" t="str">
        <f t="array" ref="N161">IF(OR(C161="",M161="",M161=0),"",M161)</f>
        <v/>
      </c>
      <c r="O161" s="19">
</c>
      <c r="P161" s="14" cm="1" t="str">
        <f t="array" ref="P161">IF(C161="","",IF(OR(O161="",O161=0),"-",O161))</f>
        <v/>
      </c>
      <c r="Q161" s="20">
</c>
      <c r="R161" s="9" cm="1" t="str">
        <f t="array" ref="R161">IF(C161="","",ROUND(Q161/1000000,3)&amp;" M€")</f>
        <v/>
      </c>
      <c r="S161" s="21">
</c>
      <c r="T161" s="9" cm="1" t="str">
        <f t="array" ref="T161">IF(C161="","",SUBSTITUTE(S161,"","")&amp;"%")</f>
        <v/>
      </c>
      <c r="U161" s="12" cm="1" t="str">
        <f t="array" ref="U161">IF(($N161="")*($P161=""),"",IF(($N161&lt;&gt;"")*($N161&gt;TODAY()-9)*($N161&lt;TODAY()+1)*($P161&lt;&gt;"")*($P161&gt;=TODAY())*($P161&lt;=TODAY()+13),"Semaine passée &amp; à venir",IF(($N161&lt;&gt;"")*($N161&gt;TODAY()-9)*($N161&lt;TODAY()+1),"Semaine passée",IF(($P161&lt;&gt;"")*($P161&gt;=TODAY())*($P161&lt;=TODAY()+13),"À venir","Autre"))))</f>
        <v/>
      </c>
      <c r="V161" cm="1" t="n">
        <f t="array" ref="V161">IF(C161&lt;&gt;"",1,0)</f>
        <v>0</v>
      </c>
    </row>
    <row r="162" ht="78.75" customHeight="1">
      <c r="A162" s="17">
</c>
      <c r="B162" s="13">
</c>
      <c r="C162" s="10">
</c>
      <c r="D162" s="18">
</c>
      <c r="E162" s="13">
</c>
      <c r="F162" s="13">
</c>
      <c r="G162" s="12" cm="1" t="str">
        <f t="array" ref="G162">IF(F162="","",SUBSTITUTE(SUBSTITUTE(SUBSTITUTE(SUBSTITUTE(F162,"&lt;li&gt;",CHAR(10)),"&lt;/li&gt;",""),"&lt;br&gt;",CHAR(10)),"&lt;strong&gt;",""))</f>
        <v/>
      </c>
      <c r="H162" s="12" cm="1" t="str">
        <f t="array" ref="H162">IF(G162="","",SUBSTITUTE(SUBSTITUTE(SUBSTITUTE(SUBSTITUTE(SUBSTITUTE(G162,"&lt;p&gt;",""),"&lt;/p&gt;",""),"&lt;ul&gt;",""),"&lt;/ul&gt;",""),"&lt;/strong&gt;",""))</f>
        <v/>
      </c>
      <c r="I162" s="12" cm="1" t="str">
        <f t="array" ref="I162">IF(C162="","",IF(OR(H162="",H162=0,H162=FALSE),"-",H162))</f>
        <v/>
      </c>
      <c r="J162" s="13">
</c>
      <c r="K162" s="13">
</c>
      <c r="L162" s="9" cm="1" t="str">
        <f t="array" ref="L162">IF(C162="","",IF(K162="Mort / Plus rien à faire","KO","OK"))</f>
        <v/>
      </c>
      <c r="M162" s="19">
</c>
      <c r="N162" s="14" cm="1" t="str">
        <f t="array" ref="N162">IF(OR(C162="",M162="",M162=0),"",M162)</f>
        <v/>
      </c>
      <c r="O162" s="19">
</c>
      <c r="P162" s="14" cm="1" t="str">
        <f t="array" ref="P162">IF(C162="","",IF(OR(O162="",O162=0),"-",O162))</f>
        <v/>
      </c>
      <c r="Q162" s="20">
</c>
      <c r="R162" s="9" cm="1" t="str">
        <f t="array" ref="R162">IF(C162="","",ROUND(Q162/1000000,3)&amp;" M€")</f>
        <v/>
      </c>
      <c r="S162" s="21">
</c>
      <c r="T162" s="9" cm="1" t="str">
        <f t="array" ref="T162">IF(C162="","",SUBSTITUTE(S162,"","")&amp;"%")</f>
        <v/>
      </c>
      <c r="U162" s="12" cm="1" t="str">
        <f t="array" ref="U162">IF(($N162="")*($P162=""),"",IF(($N162&lt;&gt;"")*($N162&gt;TODAY()-9)*($N162&lt;TODAY()+1)*($P162&lt;&gt;"")*($P162&gt;=TODAY())*($P162&lt;=TODAY()+13),"Semaine passée &amp; à venir",IF(($N162&lt;&gt;"")*($N162&gt;TODAY()-9)*($N162&lt;TODAY()+1),"Semaine passée",IF(($P162&lt;&gt;"")*($P162&gt;=TODAY())*($P162&lt;=TODAY()+13),"À venir","Autre"))))</f>
        <v/>
      </c>
      <c r="V162" cm="1" t="n">
        <f t="array" ref="V162">IF(C162&lt;&gt;"",1,0)</f>
        <v>0</v>
      </c>
    </row>
    <row r="163" ht="78.75" customHeight="1">
      <c r="A163" s="17">
</c>
      <c r="B163" s="13">
</c>
      <c r="C163" s="10">
</c>
      <c r="D163" s="18">
</c>
      <c r="E163" s="13">
</c>
      <c r="F163" s="13">
</c>
      <c r="G163" s="12" cm="1" t="str">
        <f t="array" ref="G163">IF(F163="","",SUBSTITUTE(SUBSTITUTE(SUBSTITUTE(SUBSTITUTE(F163,"&lt;li&gt;",CHAR(10)),"&lt;/li&gt;",""),"&lt;br&gt;",CHAR(10)),"&lt;strong&gt;",""))</f>
        <v/>
      </c>
      <c r="H163" s="12" cm="1" t="str">
        <f t="array" ref="H163">IF(G163="","",SUBSTITUTE(SUBSTITUTE(SUBSTITUTE(SUBSTITUTE(SUBSTITUTE(G163,"&lt;p&gt;",""),"&lt;/p&gt;",""),"&lt;ul&gt;",""),"&lt;/ul&gt;",""),"&lt;/strong&gt;",""))</f>
        <v/>
      </c>
      <c r="I163" s="12" cm="1" t="str">
        <f t="array" ref="I163">IF(C163="","",IF(OR(H163="",H163=0,H163=FALSE),"-",H163))</f>
        <v/>
      </c>
      <c r="J163" s="13">
</c>
      <c r="K163" s="13">
</c>
      <c r="L163" s="9" cm="1" t="str">
        <f t="array" ref="L163">IF(C163="","",IF(K163="Mort / Plus rien à faire","KO","OK"))</f>
        <v/>
      </c>
      <c r="M163" s="19">
</c>
      <c r="N163" s="14" cm="1" t="str">
        <f t="array" ref="N163">IF(OR(C163="",M163="",M163=0),"",M163)</f>
        <v/>
      </c>
      <c r="O163" s="19">
</c>
      <c r="P163" s="14" cm="1" t="str">
        <f t="array" ref="P163">IF(C163="","",IF(OR(O163="",O163=0),"-",O163))</f>
        <v/>
      </c>
      <c r="Q163" s="20">
</c>
      <c r="R163" s="9" cm="1" t="str">
        <f t="array" ref="R163">IF(C163="","",ROUND(Q163/1000000,3)&amp;" M€")</f>
        <v/>
      </c>
      <c r="S163" s="21">
</c>
      <c r="T163" s="9" cm="1" t="str">
        <f t="array" ref="T163">IF(C163="","",SUBSTITUTE(S163,"","")&amp;"%")</f>
        <v/>
      </c>
      <c r="U163" s="12" cm="1" t="str">
        <f t="array" ref="U163">IF(($N163="")*($P163=""),"",IF(($N163&lt;&gt;"")*($N163&gt;TODAY()-9)*($N163&lt;TODAY()+1)*($P163&lt;&gt;"")*($P163&gt;=TODAY())*($P163&lt;=TODAY()+13),"Semaine passée &amp; à venir",IF(($N163&lt;&gt;"")*($N163&gt;TODAY()-9)*($N163&lt;TODAY()+1),"Semaine passée",IF(($P163&lt;&gt;"")*($P163&gt;=TODAY())*($P163&lt;=TODAY()+13),"À venir","Autre"))))</f>
        <v/>
      </c>
      <c r="V163" cm="1" t="n">
        <f t="array" ref="V163">IF(C163&lt;&gt;"",1,0)</f>
        <v>0</v>
      </c>
    </row>
    <row r="164" ht="78.75" customHeight="1">
      <c r="A164" s="17">
</c>
      <c r="B164" s="13">
</c>
      <c r="C164" s="10">
</c>
      <c r="D164" s="18">
</c>
      <c r="E164" s="13">
</c>
      <c r="F164" s="13">
</c>
      <c r="G164" s="12" cm="1" t="str">
        <f t="array" ref="G164">IF(F164="","",SUBSTITUTE(SUBSTITUTE(SUBSTITUTE(SUBSTITUTE(F164,"&lt;li&gt;",CHAR(10)),"&lt;/li&gt;",""),"&lt;br&gt;",CHAR(10)),"&lt;strong&gt;",""))</f>
        <v/>
      </c>
      <c r="H164" s="12" cm="1" t="str">
        <f t="array" ref="H164">IF(G164="","",SUBSTITUTE(SUBSTITUTE(SUBSTITUTE(SUBSTITUTE(SUBSTITUTE(G164,"&lt;p&gt;",""),"&lt;/p&gt;",""),"&lt;ul&gt;",""),"&lt;/ul&gt;",""),"&lt;/strong&gt;",""))</f>
        <v/>
      </c>
      <c r="I164" s="12" cm="1" t="str">
        <f t="array" ref="I164">IF(C164="","",IF(OR(H164="",H164=0,H164=FALSE),"-",H164))</f>
        <v/>
      </c>
      <c r="J164" s="13">
</c>
      <c r="K164" s="13">
</c>
      <c r="L164" s="9" cm="1" t="str">
        <f t="array" ref="L164">IF(C164="","",IF(K164="Mort / Plus rien à faire","KO","OK"))</f>
        <v/>
      </c>
      <c r="M164" s="19">
</c>
      <c r="N164" s="14" cm="1" t="str">
        <f t="array" ref="N164">IF(OR(C164="",M164="",M164=0),"",M164)</f>
        <v/>
      </c>
      <c r="O164" s="19">
</c>
      <c r="P164" s="14" cm="1" t="str">
        <f t="array" ref="P164">IF(C164="","",IF(OR(O164="",O164=0),"-",O164))</f>
        <v/>
      </c>
      <c r="Q164" s="20">
</c>
      <c r="R164" s="9" cm="1" t="str">
        <f t="array" ref="R164">IF(C164="","",ROUND(Q164/1000000,3)&amp;" M€")</f>
        <v/>
      </c>
      <c r="S164" s="21">
</c>
      <c r="T164" s="9" cm="1" t="str">
        <f t="array" ref="T164">IF(C164="","",SUBSTITUTE(S164,"","")&amp;"%")</f>
        <v/>
      </c>
      <c r="U164" s="12" cm="1" t="str">
        <f t="array" ref="U164">IF(($N164="")*($P164=""),"",IF(($N164&lt;&gt;"")*($N164&gt;TODAY()-9)*($N164&lt;TODAY()+1)*($P164&lt;&gt;"")*($P164&gt;=TODAY())*($P164&lt;=TODAY()+13),"Semaine passée &amp; à venir",IF(($N164&lt;&gt;"")*($N164&gt;TODAY()-9)*($N164&lt;TODAY()+1),"Semaine passée",IF(($P164&lt;&gt;"")*($P164&gt;=TODAY())*($P164&lt;=TODAY()+13),"À venir","Autre"))))</f>
        <v/>
      </c>
      <c r="V164" cm="1" t="n">
        <f t="array" ref="V164">IF(C164&lt;&gt;"",1,0)</f>
        <v>0</v>
      </c>
    </row>
    <row r="165" ht="78.75" customHeight="1">
      <c r="A165" s="17">
</c>
      <c r="B165" s="13">
</c>
      <c r="C165" s="10">
</c>
      <c r="D165" s="18">
</c>
      <c r="E165" s="13">
</c>
      <c r="F165" s="13">
</c>
      <c r="G165" s="12" cm="1" t="str">
        <f t="array" ref="G165">IF(F165="","",SUBSTITUTE(SUBSTITUTE(SUBSTITUTE(SUBSTITUTE(F165,"&lt;li&gt;",CHAR(10)),"&lt;/li&gt;",""),"&lt;br&gt;",CHAR(10)),"&lt;strong&gt;",""))</f>
        <v/>
      </c>
      <c r="H165" s="12" cm="1" t="str">
        <f t="array" ref="H165">IF(G165="","",SUBSTITUTE(SUBSTITUTE(SUBSTITUTE(SUBSTITUTE(SUBSTITUTE(G165,"&lt;p&gt;",""),"&lt;/p&gt;",""),"&lt;ul&gt;",""),"&lt;/ul&gt;",""),"&lt;/strong&gt;",""))</f>
        <v/>
      </c>
      <c r="I165" s="12" cm="1" t="str">
        <f t="array" ref="I165">IF(C165="","",IF(OR(H165="",H165=0,H165=FALSE),"-",H165))</f>
        <v/>
      </c>
      <c r="J165" s="13">
</c>
      <c r="K165" s="13">
</c>
      <c r="L165" s="9" cm="1" t="str">
        <f t="array" ref="L165">IF(C165="","",IF(K165="Mort / Plus rien à faire","KO","OK"))</f>
        <v/>
      </c>
      <c r="M165" s="19">
</c>
      <c r="N165" s="14" cm="1" t="str">
        <f t="array" ref="N165">IF(OR(C165="",M165="",M165=0),"",M165)</f>
        <v/>
      </c>
      <c r="O165" s="19">
</c>
      <c r="P165" s="14" cm="1" t="str">
        <f t="array" ref="P165">IF(C165="","",IF(OR(O165="",O165=0),"-",O165))</f>
        <v/>
      </c>
      <c r="Q165" s="20">
</c>
      <c r="R165" s="9" cm="1" t="str">
        <f t="array" ref="R165">IF(C165="","",ROUND(Q165/1000000,3)&amp;" M€")</f>
        <v/>
      </c>
      <c r="S165" s="21">
</c>
      <c r="T165" s="9" cm="1" t="str">
        <f t="array" ref="T165">IF(C165="","",SUBSTITUTE(S165,"","")&amp;"%")</f>
        <v/>
      </c>
      <c r="U165" s="12" cm="1" t="str">
        <f t="array" ref="U165">IF(($N165="")*($P165=""),"",IF(($N165&lt;&gt;"")*($N165&gt;TODAY()-9)*($N165&lt;TODAY()+1)*($P165&lt;&gt;"")*($P165&gt;=TODAY())*($P165&lt;=TODAY()+13),"Semaine passée &amp; à venir",IF(($N165&lt;&gt;"")*($N165&gt;TODAY()-9)*($N165&lt;TODAY()+1),"Semaine passée",IF(($P165&lt;&gt;"")*($P165&gt;=TODAY())*($P165&lt;=TODAY()+13),"À venir","Autre"))))</f>
        <v/>
      </c>
      <c r="V165" cm="1" t="n">
        <f t="array" ref="V165">IF(C165&lt;&gt;"",1,0)</f>
        <v>0</v>
      </c>
    </row>
    <row r="166" ht="78.75" customHeight="1">
      <c r="A166" s="17">
</c>
      <c r="B166" s="13">
</c>
      <c r="C166" s="10">
</c>
      <c r="D166" s="18">
</c>
      <c r="E166" s="13">
</c>
      <c r="F166" s="13">
</c>
      <c r="G166" s="12" cm="1" t="str">
        <f t="array" ref="G166">IF(F166="","",SUBSTITUTE(SUBSTITUTE(SUBSTITUTE(SUBSTITUTE(F166,"&lt;li&gt;",CHAR(10)),"&lt;/li&gt;",""),"&lt;br&gt;",CHAR(10)),"&lt;strong&gt;",""))</f>
        <v/>
      </c>
      <c r="H166" s="12" cm="1" t="str">
        <f t="array" ref="H166">IF(G166="","",SUBSTITUTE(SUBSTITUTE(SUBSTITUTE(SUBSTITUTE(SUBSTITUTE(G166,"&lt;p&gt;",""),"&lt;/p&gt;",""),"&lt;ul&gt;",""),"&lt;/ul&gt;",""),"&lt;/strong&gt;",""))</f>
        <v/>
      </c>
      <c r="I166" s="12" cm="1" t="str">
        <f t="array" ref="I166">IF(C166="","",IF(OR(H166="",H166=0,H166=FALSE),"-",H166))</f>
        <v/>
      </c>
      <c r="J166" s="13">
</c>
      <c r="K166" s="13">
</c>
      <c r="L166" s="9" cm="1" t="str">
        <f t="array" ref="L166">IF(C166="","",IF(K166="Mort / Plus rien à faire","KO","OK"))</f>
        <v/>
      </c>
      <c r="M166" s="19">
</c>
      <c r="N166" s="14" cm="1" t="str">
        <f t="array" ref="N166">IF(OR(C166="",M166="",M166=0),"",M166)</f>
        <v/>
      </c>
      <c r="O166" s="19">
</c>
      <c r="P166" s="14" cm="1" t="str">
        <f t="array" ref="P166">IF(C166="","",IF(OR(O166="",O166=0),"-",O166))</f>
        <v/>
      </c>
      <c r="Q166" s="20">
</c>
      <c r="R166" s="9" cm="1" t="str">
        <f t="array" ref="R166">IF(C166="","",ROUND(Q166/1000000,3)&amp;" M€")</f>
        <v/>
      </c>
      <c r="S166" s="21">
</c>
      <c r="T166" s="9" cm="1" t="str">
        <f t="array" ref="T166">IF(C166="","",SUBSTITUTE(S166,"","")&amp;"%")</f>
        <v/>
      </c>
      <c r="U166" s="12" cm="1" t="str">
        <f t="array" ref="U166">IF(($N166="")*($P166=""),"",IF(($N166&lt;&gt;"")*($N166&gt;TODAY()-9)*($N166&lt;TODAY()+1)*($P166&lt;&gt;"")*($P166&gt;=TODAY())*($P166&lt;=TODAY()+13),"Semaine passée &amp; à venir",IF(($N166&lt;&gt;"")*($N166&gt;TODAY()-9)*($N166&lt;TODAY()+1),"Semaine passée",IF(($P166&lt;&gt;"")*($P166&gt;=TODAY())*($P166&lt;=TODAY()+13),"À venir","Autre"))))</f>
        <v/>
      </c>
      <c r="V166" cm="1" t="n">
        <f t="array" ref="V166">IF(C166&lt;&gt;"",1,0)</f>
        <v>0</v>
      </c>
    </row>
    <row r="167" ht="78.75" customHeight="1">
      <c r="A167" s="17">
</c>
      <c r="B167" s="13">
</c>
      <c r="C167" s="10">
</c>
      <c r="D167" s="18">
</c>
      <c r="E167" s="13">
</c>
      <c r="F167" s="13">
</c>
      <c r="G167" s="12" cm="1" t="str">
        <f t="array" ref="G167">IF(F167="","",SUBSTITUTE(SUBSTITUTE(SUBSTITUTE(SUBSTITUTE(F167,"&lt;li&gt;",CHAR(10)),"&lt;/li&gt;",""),"&lt;br&gt;",CHAR(10)),"&lt;strong&gt;",""))</f>
        <v/>
      </c>
      <c r="H167" s="12" cm="1" t="str">
        <f t="array" ref="H167">IF(G167="","",SUBSTITUTE(SUBSTITUTE(SUBSTITUTE(SUBSTITUTE(SUBSTITUTE(G167,"&lt;p&gt;",""),"&lt;/p&gt;",""),"&lt;ul&gt;",""),"&lt;/ul&gt;",""),"&lt;/strong&gt;",""))</f>
        <v/>
      </c>
      <c r="I167" s="12" cm="1" t="str">
        <f t="array" ref="I167">IF(C167="","",IF(OR(H167="",H167=0,H167=FALSE),"-",H167))</f>
        <v/>
      </c>
      <c r="J167" s="13">
</c>
      <c r="K167" s="13">
</c>
      <c r="L167" s="9" cm="1" t="str">
        <f t="array" ref="L167">IF(C167="","",IF(K167="Mort / Plus rien à faire","KO","OK"))</f>
        <v/>
      </c>
      <c r="M167" s="19">
</c>
      <c r="N167" s="14" cm="1" t="str">
        <f t="array" ref="N167">IF(OR(C167="",M167="",M167=0),"",M167)</f>
        <v/>
      </c>
      <c r="O167" s="19">
</c>
      <c r="P167" s="14" cm="1" t="str">
        <f t="array" ref="P167">IF(C167="","",IF(OR(O167="",O167=0),"-",O167))</f>
        <v/>
      </c>
      <c r="Q167" s="20">
</c>
      <c r="R167" s="9" cm="1" t="str">
        <f t="array" ref="R167">IF(C167="","",ROUND(Q167/1000000,3)&amp;" M€")</f>
        <v/>
      </c>
      <c r="S167" s="21">
</c>
      <c r="T167" s="9" cm="1" t="str">
        <f t="array" ref="T167">IF(C167="","",SUBSTITUTE(S167,"","")&amp;"%")</f>
        <v/>
      </c>
      <c r="U167" s="12" cm="1" t="str">
        <f t="array" ref="U167">IF(($N167="")*($P167=""),"",IF(($N167&lt;&gt;"")*($N167&gt;TODAY()-9)*($N167&lt;TODAY()+1)*($P167&lt;&gt;"")*($P167&gt;=TODAY())*($P167&lt;=TODAY()+13),"Semaine passée &amp; à venir",IF(($N167&lt;&gt;"")*($N167&gt;TODAY()-9)*($N167&lt;TODAY()+1),"Semaine passée",IF(($P167&lt;&gt;"")*($P167&gt;=TODAY())*($P167&lt;=TODAY()+13),"À venir","Autre"))))</f>
        <v/>
      </c>
      <c r="V167" cm="1" t="n">
        <f t="array" ref="V167">IF(C167&lt;&gt;"",1,0)</f>
        <v>0</v>
      </c>
    </row>
    <row r="168" ht="78.75" customHeight="1">
      <c r="A168" s="17">
</c>
      <c r="B168" s="13">
</c>
      <c r="C168" s="10">
</c>
      <c r="D168" s="18">
</c>
      <c r="E168" s="13">
</c>
      <c r="F168" s="13">
</c>
      <c r="G168" s="12" cm="1" t="str">
        <f t="array" ref="G168">IF(F168="","",SUBSTITUTE(SUBSTITUTE(SUBSTITUTE(SUBSTITUTE(F168,"&lt;li&gt;",CHAR(10)),"&lt;/li&gt;",""),"&lt;br&gt;",CHAR(10)),"&lt;strong&gt;",""))</f>
        <v/>
      </c>
      <c r="H168" s="12" cm="1" t="str">
        <f t="array" ref="H168">IF(G168="","",SUBSTITUTE(SUBSTITUTE(SUBSTITUTE(SUBSTITUTE(SUBSTITUTE(G168,"&lt;p&gt;",""),"&lt;/p&gt;",""),"&lt;ul&gt;",""),"&lt;/ul&gt;",""),"&lt;/strong&gt;",""))</f>
        <v/>
      </c>
      <c r="I168" s="12" cm="1" t="str">
        <f t="array" ref="I168">IF(C168="","",IF(OR(H168="",H168=0,H168=FALSE),"-",H168))</f>
        <v/>
      </c>
      <c r="J168" s="13">
</c>
      <c r="K168" s="13">
</c>
      <c r="L168" s="9" cm="1" t="str">
        <f t="array" ref="L168">IF(C168="","",IF(K168="Mort / Plus rien à faire","KO","OK"))</f>
        <v/>
      </c>
      <c r="M168" s="19">
</c>
      <c r="N168" s="14" cm="1" t="str">
        <f t="array" ref="N168">IF(OR(C168="",M168="",M168=0),"",M168)</f>
        <v/>
      </c>
      <c r="O168" s="19">
</c>
      <c r="P168" s="14" cm="1" t="str">
        <f t="array" ref="P168">IF(C168="","",IF(OR(O168="",O168=0),"-",O168))</f>
        <v/>
      </c>
      <c r="Q168" s="20">
</c>
      <c r="R168" s="9" cm="1" t="str">
        <f t="array" ref="R168">IF(C168="","",ROUND(Q168/1000000,3)&amp;" M€")</f>
        <v/>
      </c>
      <c r="S168" s="21">
</c>
      <c r="T168" s="9" cm="1" t="str">
        <f t="array" ref="T168">IF(C168="","",SUBSTITUTE(S168,"","")&amp;"%")</f>
        <v/>
      </c>
      <c r="U168" s="12" cm="1" t="str">
        <f t="array" ref="U168">IF(($N168="")*($P168=""),"",IF(($N168&lt;&gt;"")*($N168&gt;TODAY()-9)*($N168&lt;TODAY()+1)*($P168&lt;&gt;"")*($P168&gt;=TODAY())*($P168&lt;=TODAY()+13),"Semaine passée &amp; à venir",IF(($N168&lt;&gt;"")*($N168&gt;TODAY()-9)*($N168&lt;TODAY()+1),"Semaine passée",IF(($P168&lt;&gt;"")*($P168&gt;=TODAY())*($P168&lt;=TODAY()+13),"À venir","Autre"))))</f>
        <v/>
      </c>
      <c r="V168" cm="1" t="n">
        <f t="array" ref="V168">IF(C168&lt;&gt;"",1,0)</f>
        <v>0</v>
      </c>
    </row>
    <row r="169" ht="78.75" customHeight="1">
      <c r="A169" s="17">
</c>
      <c r="B169" s="13">
</c>
      <c r="C169" s="10">
</c>
      <c r="D169" s="18">
</c>
      <c r="E169" s="13">
</c>
      <c r="F169" s="13">
</c>
      <c r="G169" s="12" cm="1" t="str">
        <f t="array" ref="G169">IF(F169="","",SUBSTITUTE(SUBSTITUTE(SUBSTITUTE(SUBSTITUTE(F169,"&lt;li&gt;",CHAR(10)),"&lt;/li&gt;",""),"&lt;br&gt;",CHAR(10)),"&lt;strong&gt;",""))</f>
        <v/>
      </c>
      <c r="H169" s="12" cm="1" t="str">
        <f t="array" ref="H169">IF(G169="","",SUBSTITUTE(SUBSTITUTE(SUBSTITUTE(SUBSTITUTE(SUBSTITUTE(G169,"&lt;p&gt;",""),"&lt;/p&gt;",""),"&lt;ul&gt;",""),"&lt;/ul&gt;",""),"&lt;/strong&gt;",""))</f>
        <v/>
      </c>
      <c r="I169" s="12" cm="1" t="str">
        <f t="array" ref="I169">IF(C169="","",IF(OR(H169="",H169=0,H169=FALSE),"-",H169))</f>
        <v/>
      </c>
      <c r="J169" s="13">
</c>
      <c r="K169" s="13">
</c>
      <c r="L169" s="9" cm="1" t="str">
        <f t="array" ref="L169">IF(C169="","",IF(K169="Mort / Plus rien à faire","KO","OK"))</f>
        <v/>
      </c>
      <c r="M169" s="19">
</c>
      <c r="N169" s="14" cm="1" t="str">
        <f t="array" ref="N169">IF(OR(C169="",M169="",M169=0),"",M169)</f>
        <v/>
      </c>
      <c r="O169" s="19">
</c>
      <c r="P169" s="14" cm="1" t="str">
        <f t="array" ref="P169">IF(C169="","",IF(OR(O169="",O169=0),"-",O169))</f>
        <v/>
      </c>
      <c r="Q169" s="20">
</c>
      <c r="R169" s="9" cm="1" t="str">
        <f t="array" ref="R169">IF(C169="","",ROUND(Q169/1000000,3)&amp;" M€")</f>
        <v/>
      </c>
      <c r="S169" s="21">
</c>
      <c r="T169" s="9" cm="1" t="str">
        <f t="array" ref="T169">IF(C169="","",SUBSTITUTE(S169,"","")&amp;"%")</f>
        <v/>
      </c>
      <c r="U169" s="12" cm="1" t="str">
        <f t="array" ref="U169">IF(($N169="")*($P169=""),"",IF(($N169&lt;&gt;"")*($N169&gt;TODAY()-9)*($N169&lt;TODAY()+1)*($P169&lt;&gt;"")*($P169&gt;=TODAY())*($P169&lt;=TODAY()+13),"Semaine passée &amp; à venir",IF(($N169&lt;&gt;"")*($N169&gt;TODAY()-9)*($N169&lt;TODAY()+1),"Semaine passée",IF(($P169&lt;&gt;"")*($P169&gt;=TODAY())*($P169&lt;=TODAY()+13),"À venir","Autre"))))</f>
        <v/>
      </c>
      <c r="V169" cm="1" t="n">
        <f t="array" ref="V169">IF(C169&lt;&gt;"",1,0)</f>
        <v>0</v>
      </c>
    </row>
    <row r="170" ht="78.75" customHeight="1">
      <c r="A170" s="17">
</c>
      <c r="B170" s="13">
</c>
      <c r="C170" s="10">
</c>
      <c r="D170" s="18">
</c>
      <c r="E170" s="13">
</c>
      <c r="F170" s="13">
</c>
      <c r="G170" s="12" cm="1" t="str">
        <f t="array" ref="G170">IF(F170="","",SUBSTITUTE(SUBSTITUTE(SUBSTITUTE(SUBSTITUTE(F170,"&lt;li&gt;",CHAR(10)),"&lt;/li&gt;",""),"&lt;br&gt;",CHAR(10)),"&lt;strong&gt;",""))</f>
        <v/>
      </c>
      <c r="H170" s="12" cm="1" t="str">
        <f t="array" ref="H170">IF(G170="","",SUBSTITUTE(SUBSTITUTE(SUBSTITUTE(SUBSTITUTE(SUBSTITUTE(G170,"&lt;p&gt;",""),"&lt;/p&gt;",""),"&lt;ul&gt;",""),"&lt;/ul&gt;",""),"&lt;/strong&gt;",""))</f>
        <v/>
      </c>
      <c r="I170" s="12" cm="1" t="str">
        <f t="array" ref="I170">IF(C170="","",IF(OR(H170="",H170=0,H170=FALSE),"-",H170))</f>
        <v/>
      </c>
      <c r="J170" s="13">
</c>
      <c r="K170" s="13">
</c>
      <c r="L170" s="9" cm="1" t="str">
        <f t="array" ref="L170">IF(C170="","",IF(K170="Mort / Plus rien à faire","KO","OK"))</f>
        <v/>
      </c>
      <c r="M170" s="19">
</c>
      <c r="N170" s="14" cm="1" t="str">
        <f t="array" ref="N170">IF(OR(C170="",M170="",M170=0),"",M170)</f>
        <v/>
      </c>
      <c r="O170" s="19">
</c>
      <c r="P170" s="14" cm="1" t="str">
        <f t="array" ref="P170">IF(C170="","",IF(OR(O170="",O170=0),"-",O170))</f>
        <v/>
      </c>
      <c r="Q170" s="20">
</c>
      <c r="R170" s="9" cm="1" t="str">
        <f t="array" ref="R170">IF(C170="","",ROUND(Q170/1000000,3)&amp;" M€")</f>
        <v/>
      </c>
      <c r="S170" s="21">
</c>
      <c r="T170" s="9" cm="1" t="str">
        <f t="array" ref="T170">IF(C170="","",SUBSTITUTE(S170,"","")&amp;"%")</f>
        <v/>
      </c>
      <c r="U170" s="12" cm="1" t="str">
        <f t="array" ref="U170">IF(($N170="")*($P170=""),"",IF(($N170&lt;&gt;"")*($N170&gt;TODAY()-9)*($N170&lt;TODAY()+1)*($P170&lt;&gt;"")*($P170&gt;=TODAY())*($P170&lt;=TODAY()+13),"Semaine passée &amp; à venir",IF(($N170&lt;&gt;"")*($N170&gt;TODAY()-9)*($N170&lt;TODAY()+1),"Semaine passée",IF(($P170&lt;&gt;"")*($P170&gt;=TODAY())*($P170&lt;=TODAY()+13),"À venir","Autre"))))</f>
        <v/>
      </c>
      <c r="V170" cm="1" t="n">
        <f t="array" ref="V170">IF(C170&lt;&gt;"",1,0)</f>
        <v>0</v>
      </c>
    </row>
    <row r="171" ht="78.75" customHeight="1">
      <c r="A171" s="17">
</c>
      <c r="B171" s="13">
</c>
      <c r="C171" s="10">
</c>
      <c r="D171" s="18">
</c>
      <c r="E171" s="13">
</c>
      <c r="F171" s="13">
</c>
      <c r="G171" s="12" cm="1" t="str">
        <f t="array" ref="G171">IF(F171="","",SUBSTITUTE(SUBSTITUTE(SUBSTITUTE(SUBSTITUTE(F171,"&lt;li&gt;",CHAR(10)),"&lt;/li&gt;",""),"&lt;br&gt;",CHAR(10)),"&lt;strong&gt;",""))</f>
        <v/>
      </c>
      <c r="H171" s="12" cm="1" t="str">
        <f t="array" ref="H171">IF(G171="","",SUBSTITUTE(SUBSTITUTE(SUBSTITUTE(SUBSTITUTE(SUBSTITUTE(G171,"&lt;p&gt;",""),"&lt;/p&gt;",""),"&lt;ul&gt;",""),"&lt;/ul&gt;",""),"&lt;/strong&gt;",""))</f>
        <v/>
      </c>
      <c r="I171" s="12" cm="1" t="str">
        <f t="array" ref="I171">IF(C171="","",IF(OR(H171="",H171=0,H171=FALSE),"-",H171))</f>
        <v/>
      </c>
      <c r="J171" s="13">
</c>
      <c r="K171" s="13">
</c>
      <c r="L171" s="9" cm="1" t="str">
        <f t="array" ref="L171">IF(C171="","",IF(K171="Mort / Plus rien à faire","KO","OK"))</f>
        <v/>
      </c>
      <c r="M171" s="19">
</c>
      <c r="N171" s="14" cm="1" t="str">
        <f t="array" ref="N171">IF(OR(C171="",M171="",M171=0),"",M171)</f>
        <v/>
      </c>
      <c r="O171" s="19">
</c>
      <c r="P171" s="14" cm="1" t="str">
        <f t="array" ref="P171">IF(C171="","",IF(OR(O171="",O171=0),"-",O171))</f>
        <v/>
      </c>
      <c r="Q171" s="20">
</c>
      <c r="R171" s="9" cm="1" t="str">
        <f t="array" ref="R171">IF(C171="","",ROUND(Q171/1000000,3)&amp;" M€")</f>
        <v/>
      </c>
      <c r="S171" s="21">
</c>
      <c r="T171" s="9" cm="1" t="str">
        <f t="array" ref="T171">IF(C171="","",SUBSTITUTE(S171,"","")&amp;"%")</f>
        <v/>
      </c>
      <c r="U171" s="12" cm="1" t="str">
        <f t="array" ref="U171">IF(($N171="")*($P171=""),"",IF(($N171&lt;&gt;"")*($N171&gt;TODAY()-9)*($N171&lt;TODAY()+1)*($P171&lt;&gt;"")*($P171&gt;=TODAY())*($P171&lt;=TODAY()+13),"Semaine passée &amp; à venir",IF(($N171&lt;&gt;"")*($N171&gt;TODAY()-9)*($N171&lt;TODAY()+1),"Semaine passée",IF(($P171&lt;&gt;"")*($P171&gt;=TODAY())*($P171&lt;=TODAY()+13),"À venir","Autre"))))</f>
        <v/>
      </c>
      <c r="V171" cm="1" t="n">
        <f t="array" ref="V171">IF(C171&lt;&gt;"",1,0)</f>
        <v>0</v>
      </c>
    </row>
    <row r="172" ht="78.75" customHeight="1">
      <c r="A172" s="17">
</c>
      <c r="B172" s="13">
</c>
      <c r="C172" s="10">
</c>
      <c r="D172" s="18">
</c>
      <c r="E172" s="13">
</c>
      <c r="F172" s="13">
</c>
      <c r="G172" s="12" cm="1" t="str">
        <f t="array" ref="G172">IF(F172="","",SUBSTITUTE(SUBSTITUTE(SUBSTITUTE(SUBSTITUTE(F172,"&lt;li&gt;",CHAR(10)),"&lt;/li&gt;",""),"&lt;br&gt;",CHAR(10)),"&lt;strong&gt;",""))</f>
        <v/>
      </c>
      <c r="H172" s="12" cm="1" t="str">
        <f t="array" ref="H172">IF(G172="","",SUBSTITUTE(SUBSTITUTE(SUBSTITUTE(SUBSTITUTE(SUBSTITUTE(G172,"&lt;p&gt;",""),"&lt;/p&gt;",""),"&lt;ul&gt;",""),"&lt;/ul&gt;",""),"&lt;/strong&gt;",""))</f>
        <v/>
      </c>
      <c r="I172" s="12" cm="1" t="str">
        <f t="array" ref="I172">IF(C172="","",IF(OR(H172="",H172=0,H172=FALSE),"-",H172))</f>
        <v/>
      </c>
      <c r="J172" s="13">
</c>
      <c r="K172" s="13">
</c>
      <c r="L172" s="9" cm="1" t="str">
        <f t="array" ref="L172">IF(C172="","",IF(K172="Mort / Plus rien à faire","KO","OK"))</f>
        <v/>
      </c>
      <c r="M172" s="19">
</c>
      <c r="N172" s="14" cm="1" t="str">
        <f t="array" ref="N172">IF(OR(C172="",M172="",M172=0),"",M172)</f>
        <v/>
      </c>
      <c r="O172" s="19">
</c>
      <c r="P172" s="14" cm="1" t="str">
        <f t="array" ref="P172">IF(C172="","",IF(OR(O172="",O172=0),"-",O172))</f>
        <v/>
      </c>
      <c r="Q172" s="20">
</c>
      <c r="R172" s="9" cm="1" t="str">
        <f t="array" ref="R172">IF(C172="","",ROUND(Q172/1000000,3)&amp;" M€")</f>
        <v/>
      </c>
      <c r="S172" s="21">
</c>
      <c r="T172" s="9" cm="1" t="str">
        <f t="array" ref="T172">IF(C172="","",SUBSTITUTE(S172,"","")&amp;"%")</f>
        <v/>
      </c>
      <c r="U172" s="12" cm="1" t="str">
        <f t="array" ref="U172">IF(($N172="")*($P172=""),"",IF(($N172&lt;&gt;"")*($N172&gt;TODAY()-9)*($N172&lt;TODAY()+1)*($P172&lt;&gt;"")*($P172&gt;=TODAY())*($P172&lt;=TODAY()+13),"Semaine passée &amp; à venir",IF(($N172&lt;&gt;"")*($N172&gt;TODAY()-9)*($N172&lt;TODAY()+1),"Semaine passée",IF(($P172&lt;&gt;"")*($P172&gt;=TODAY())*($P172&lt;=TODAY()+13),"À venir","Autre"))))</f>
        <v/>
      </c>
      <c r="V172" cm="1" t="n">
        <f t="array" ref="V172">IF(C172&lt;&gt;"",1,0)</f>
        <v>0</v>
      </c>
    </row>
    <row r="173" ht="78.75" customHeight="1">
      <c r="A173" s="17">
</c>
      <c r="B173" s="13">
</c>
      <c r="C173" s="10">
</c>
      <c r="D173" s="18">
</c>
      <c r="E173" s="13">
</c>
      <c r="F173" s="13">
</c>
      <c r="G173" s="12" cm="1" t="str">
        <f t="array" ref="G173">IF(F173="","",SUBSTITUTE(SUBSTITUTE(SUBSTITUTE(SUBSTITUTE(F173,"&lt;li&gt;",CHAR(10)),"&lt;/li&gt;",""),"&lt;br&gt;",CHAR(10)),"&lt;strong&gt;",""))</f>
        <v/>
      </c>
      <c r="H173" s="12" cm="1" t="str">
        <f t="array" ref="H173">IF(G173="","",SUBSTITUTE(SUBSTITUTE(SUBSTITUTE(SUBSTITUTE(SUBSTITUTE(G173,"&lt;p&gt;",""),"&lt;/p&gt;",""),"&lt;ul&gt;",""),"&lt;/ul&gt;",""),"&lt;/strong&gt;",""))</f>
        <v/>
      </c>
      <c r="I173" s="12" cm="1" t="str">
        <f t="array" ref="I173">IF(C173="","",IF(OR(H173="",H173=0,H173=FALSE),"-",H173))</f>
        <v/>
      </c>
      <c r="J173" s="13">
</c>
      <c r="K173" s="13">
</c>
      <c r="L173" s="9" cm="1" t="str">
        <f t="array" ref="L173">IF(C173="","",IF(K173="Mort / Plus rien à faire","KO","OK"))</f>
        <v/>
      </c>
      <c r="M173" s="19">
</c>
      <c r="N173" s="14" cm="1" t="str">
        <f t="array" ref="N173">IF(OR(C173="",M173="",M173=0),"",M173)</f>
        <v/>
      </c>
      <c r="O173" s="19">
</c>
      <c r="P173" s="14" cm="1" t="str">
        <f t="array" ref="P173">IF(C173="","",IF(OR(O173="",O173=0),"-",O173))</f>
        <v/>
      </c>
      <c r="Q173" s="20">
</c>
      <c r="R173" s="9" cm="1" t="str">
        <f t="array" ref="R173">IF(C173="","",ROUND(Q173/1000000,3)&amp;" M€")</f>
        <v/>
      </c>
      <c r="S173" s="21">
</c>
      <c r="T173" s="9" cm="1" t="str">
        <f t="array" ref="T173">IF(C173="","",SUBSTITUTE(S173,"","")&amp;"%")</f>
        <v/>
      </c>
      <c r="U173" s="12" cm="1" t="str">
        <f t="array" ref="U173">IF(($N173="")*($P173=""),"",IF(($N173&lt;&gt;"")*($N173&gt;TODAY()-9)*($N173&lt;TODAY()+1)*($P173&lt;&gt;"")*($P173&gt;=TODAY())*($P173&lt;=TODAY()+13),"Semaine passée &amp; à venir",IF(($N173&lt;&gt;"")*($N173&gt;TODAY()-9)*($N173&lt;TODAY()+1),"Semaine passée",IF(($P173&lt;&gt;"")*($P173&gt;=TODAY())*($P173&lt;=TODAY()+13),"À venir","Autre"))))</f>
        <v/>
      </c>
      <c r="V173" cm="1" t="n">
        <f t="array" ref="V173">IF(C173&lt;&gt;"",1,0)</f>
        <v>0</v>
      </c>
    </row>
    <row r="174" ht="78.75" customHeight="1">
      <c r="A174" s="17">
</c>
      <c r="B174" s="13">
</c>
      <c r="C174" s="10">
</c>
      <c r="D174" s="18">
</c>
      <c r="E174" s="13">
</c>
      <c r="F174" s="13">
</c>
      <c r="G174" s="12" cm="1" t="str">
        <f t="array" ref="G174">IF(F174="","",SUBSTITUTE(SUBSTITUTE(SUBSTITUTE(SUBSTITUTE(F174,"&lt;li&gt;",CHAR(10)),"&lt;/li&gt;",""),"&lt;br&gt;",CHAR(10)),"&lt;strong&gt;",""))</f>
        <v/>
      </c>
      <c r="H174" s="12" cm="1" t="str">
        <f t="array" ref="H174">IF(G174="","",SUBSTITUTE(SUBSTITUTE(SUBSTITUTE(SUBSTITUTE(SUBSTITUTE(G174,"&lt;p&gt;",""),"&lt;/p&gt;",""),"&lt;ul&gt;",""),"&lt;/ul&gt;",""),"&lt;/strong&gt;",""))</f>
        <v/>
      </c>
      <c r="I174" s="12" cm="1" t="str">
        <f t="array" ref="I174">IF(C174="","",IF(OR(H174="",H174=0,H174=FALSE),"-",H174))</f>
        <v/>
      </c>
      <c r="J174" s="13">
</c>
      <c r="K174" s="13">
</c>
      <c r="L174" s="9" cm="1" t="str">
        <f t="array" ref="L174">IF(C174="","",IF(K174="Mort / Plus rien à faire","KO","OK"))</f>
        <v/>
      </c>
      <c r="M174" s="19">
</c>
      <c r="N174" s="14" cm="1" t="str">
        <f t="array" ref="N174">IF(OR(C174="",M174="",M174=0),"",M174)</f>
        <v/>
      </c>
      <c r="O174" s="19">
</c>
      <c r="P174" s="14" cm="1" t="str">
        <f t="array" ref="P174">IF(C174="","",IF(OR(O174="",O174=0),"-",O174))</f>
        <v/>
      </c>
      <c r="Q174" s="20">
</c>
      <c r="R174" s="9" cm="1" t="str">
        <f t="array" ref="R174">IF(C174="","",ROUND(Q174/1000000,3)&amp;" M€")</f>
        <v/>
      </c>
      <c r="S174" s="21">
</c>
      <c r="T174" s="9" cm="1" t="str">
        <f t="array" ref="T174">IF(C174="","",SUBSTITUTE(S174,"","")&amp;"%")</f>
        <v/>
      </c>
      <c r="U174" s="12" cm="1" t="str">
        <f t="array" ref="U174">IF(($N174="")*($P174=""),"",IF(($N174&lt;&gt;"")*($N174&gt;TODAY()-9)*($N174&lt;TODAY()+1)*($P174&lt;&gt;"")*($P174&gt;=TODAY())*($P174&lt;=TODAY()+13),"Semaine passée &amp; à venir",IF(($N174&lt;&gt;"")*($N174&gt;TODAY()-9)*($N174&lt;TODAY()+1),"Semaine passée",IF(($P174&lt;&gt;"")*($P174&gt;=TODAY())*($P174&lt;=TODAY()+13),"À venir","Autre"))))</f>
        <v/>
      </c>
      <c r="V174" cm="1" t="n">
        <f t="array" ref="V174">IF(C174&lt;&gt;"",1,0)</f>
        <v>0</v>
      </c>
    </row>
    <row r="175" ht="78.75" customHeight="1">
      <c r="A175" s="17">
</c>
      <c r="B175" s="13">
</c>
      <c r="C175" s="10">
</c>
      <c r="D175" s="18">
</c>
      <c r="E175" s="13">
</c>
      <c r="F175" s="13">
</c>
      <c r="G175" s="12" cm="1" t="str">
        <f t="array" ref="G175">IF(F175="","",SUBSTITUTE(SUBSTITUTE(SUBSTITUTE(SUBSTITUTE(F175,"&lt;li&gt;",CHAR(10)),"&lt;/li&gt;",""),"&lt;br&gt;",CHAR(10)),"&lt;strong&gt;",""))</f>
        <v/>
      </c>
      <c r="H175" s="12" cm="1" t="str">
        <f t="array" ref="H175">IF(G175="","",SUBSTITUTE(SUBSTITUTE(SUBSTITUTE(SUBSTITUTE(SUBSTITUTE(G175,"&lt;p&gt;",""),"&lt;/p&gt;",""),"&lt;ul&gt;",""),"&lt;/ul&gt;",""),"&lt;/strong&gt;",""))</f>
        <v/>
      </c>
      <c r="I175" s="12" cm="1" t="str">
        <f t="array" ref="I175">IF(C175="","",IF(OR(H175="",H175=0,H175=FALSE),"-",H175))</f>
        <v/>
      </c>
      <c r="J175" s="13">
</c>
      <c r="K175" s="13">
</c>
      <c r="L175" s="9" cm="1" t="str">
        <f t="array" ref="L175">IF(C175="","",IF(K175="Mort / Plus rien à faire","KO","OK"))</f>
        <v/>
      </c>
      <c r="M175" s="19">
</c>
      <c r="N175" s="14" cm="1" t="str">
        <f t="array" ref="N175">IF(OR(C175="",M175="",M175=0),"",M175)</f>
        <v/>
      </c>
      <c r="O175" s="19">
</c>
      <c r="P175" s="14" cm="1" t="str">
        <f t="array" ref="P175">IF(C175="","",IF(OR(O175="",O175=0),"-",O175))</f>
        <v/>
      </c>
      <c r="Q175" s="20">
</c>
      <c r="R175" s="9" cm="1" t="str">
        <f t="array" ref="R175">IF(C175="","",ROUND(Q175/1000000,3)&amp;" M€")</f>
        <v/>
      </c>
      <c r="S175" s="21">
</c>
      <c r="T175" s="9" cm="1" t="str">
        <f t="array" ref="T175">IF(C175="","",SUBSTITUTE(S175,"","")&amp;"%")</f>
        <v/>
      </c>
      <c r="U175" s="12" cm="1" t="str">
        <f t="array" ref="U175">IF(($N175="")*($P175=""),"",IF(($N175&lt;&gt;"")*($N175&gt;TODAY()-9)*($N175&lt;TODAY()+1)*($P175&lt;&gt;"")*($P175&gt;=TODAY())*($P175&lt;=TODAY()+13),"Semaine passée &amp; à venir",IF(($N175&lt;&gt;"")*($N175&gt;TODAY()-9)*($N175&lt;TODAY()+1),"Semaine passée",IF(($P175&lt;&gt;"")*($P175&gt;=TODAY())*($P175&lt;=TODAY()+13),"À venir","Autre"))))</f>
        <v/>
      </c>
      <c r="V175" cm="1" t="n">
        <f t="array" ref="V175">IF(C175&lt;&gt;"",1,0)</f>
        <v>0</v>
      </c>
    </row>
    <row r="176" ht="78.75" customHeight="1">
      <c r="A176" s="17">
</c>
      <c r="B176" s="13">
</c>
      <c r="C176" s="10">
</c>
      <c r="D176" s="18">
</c>
      <c r="E176" s="13">
</c>
      <c r="F176" s="13">
</c>
      <c r="G176" s="12" cm="1" t="str">
        <f t="array" ref="G176">IF(F176="","",SUBSTITUTE(SUBSTITUTE(SUBSTITUTE(SUBSTITUTE(F176,"&lt;li&gt;",CHAR(10)),"&lt;/li&gt;",""),"&lt;br&gt;",CHAR(10)),"&lt;strong&gt;",""))</f>
        <v/>
      </c>
      <c r="H176" s="12" cm="1" t="str">
        <f t="array" ref="H176">IF(G176="","",SUBSTITUTE(SUBSTITUTE(SUBSTITUTE(SUBSTITUTE(SUBSTITUTE(G176,"&lt;p&gt;",""),"&lt;/p&gt;",""),"&lt;ul&gt;",""),"&lt;/ul&gt;",""),"&lt;/strong&gt;",""))</f>
        <v/>
      </c>
      <c r="I176" s="12" cm="1" t="str">
        <f t="array" ref="I176">IF(C176="","",IF(OR(H176="",H176=0,H176=FALSE),"-",H176))</f>
        <v/>
      </c>
      <c r="J176" s="13">
</c>
      <c r="K176" s="13">
</c>
      <c r="L176" s="9" cm="1" t="str">
        <f t="array" ref="L176">IF(C176="","",IF(K176="Mort / Plus rien à faire","KO","OK"))</f>
        <v/>
      </c>
      <c r="M176" s="19">
</c>
      <c r="N176" s="14" cm="1" t="str">
        <f t="array" ref="N176">IF(OR(C176="",M176="",M176=0),"",M176)</f>
        <v/>
      </c>
      <c r="O176" s="19">
</c>
      <c r="P176" s="14" cm="1" t="str">
        <f t="array" ref="P176">IF(C176="","",IF(OR(O176="",O176=0),"-",O176))</f>
        <v/>
      </c>
      <c r="Q176" s="20">
</c>
      <c r="R176" s="9" cm="1" t="str">
        <f t="array" ref="R176">IF(C176="","",ROUND(Q176/1000000,3)&amp;" M€")</f>
        <v/>
      </c>
      <c r="S176" s="21">
</c>
      <c r="T176" s="9" cm="1" t="str">
        <f t="array" ref="T176">IF(C176="","",SUBSTITUTE(S176,"","")&amp;"%")</f>
        <v/>
      </c>
      <c r="U176" s="12" cm="1" t="str">
        <f t="array" ref="U176">IF(($N176="")*($P176=""),"",IF(($N176&lt;&gt;"")*($N176&gt;TODAY()-9)*($N176&lt;TODAY()+1)*($P176&lt;&gt;"")*($P176&gt;=TODAY())*($P176&lt;=TODAY()+13),"Semaine passée &amp; à venir",IF(($N176&lt;&gt;"")*($N176&gt;TODAY()-9)*($N176&lt;TODAY()+1),"Semaine passée",IF(($P176&lt;&gt;"")*($P176&gt;=TODAY())*($P176&lt;=TODAY()+13),"À venir","Autre"))))</f>
        <v/>
      </c>
      <c r="V176" cm="1" t="n">
        <f t="array" ref="V176">IF(C176&lt;&gt;"",1,0)</f>
        <v>0</v>
      </c>
    </row>
    <row r="177" ht="78.75" customHeight="1">
      <c r="A177" s="17">
</c>
      <c r="B177" s="13">
</c>
      <c r="C177" s="10">
</c>
      <c r="D177" s="18">
</c>
      <c r="E177" s="13">
</c>
      <c r="F177" s="13">
</c>
      <c r="G177" s="12" cm="1" t="str">
        <f t="array" ref="G177">IF(F177="","",SUBSTITUTE(SUBSTITUTE(SUBSTITUTE(SUBSTITUTE(F177,"&lt;li&gt;",CHAR(10)),"&lt;/li&gt;",""),"&lt;br&gt;",CHAR(10)),"&lt;strong&gt;",""))</f>
        <v/>
      </c>
      <c r="H177" s="12" cm="1" t="str">
        <f t="array" ref="H177">IF(G177="","",SUBSTITUTE(SUBSTITUTE(SUBSTITUTE(SUBSTITUTE(SUBSTITUTE(G177,"&lt;p&gt;",""),"&lt;/p&gt;",""),"&lt;ul&gt;",""),"&lt;/ul&gt;",""),"&lt;/strong&gt;",""))</f>
        <v/>
      </c>
      <c r="I177" s="12" cm="1" t="str">
        <f t="array" ref="I177">IF(C177="","",IF(OR(H177="",H177=0,H177=FALSE),"-",H177))</f>
        <v/>
      </c>
      <c r="J177" s="13">
</c>
      <c r="K177" s="13">
</c>
      <c r="L177" s="9" cm="1" t="str">
        <f t="array" ref="L177">IF(C177="","",IF(K177="Mort / Plus rien à faire","KO","OK"))</f>
        <v/>
      </c>
      <c r="M177" s="19">
</c>
      <c r="N177" s="14" cm="1" t="str">
        <f t="array" ref="N177">IF(OR(C177="",M177="",M177=0),"",M177)</f>
        <v/>
      </c>
      <c r="O177" s="19">
</c>
      <c r="P177" s="14" cm="1" t="str">
        <f t="array" ref="P177">IF(C177="","",IF(OR(O177="",O177=0),"-",O177))</f>
        <v/>
      </c>
      <c r="Q177" s="20">
</c>
      <c r="R177" s="9" cm="1" t="str">
        <f t="array" ref="R177">IF(C177="","",ROUND(Q177/1000000,3)&amp;" M€")</f>
        <v/>
      </c>
      <c r="S177" s="21">
</c>
      <c r="T177" s="9" cm="1" t="str">
        <f t="array" ref="T177">IF(C177="","",SUBSTITUTE(S177,"","")&amp;"%")</f>
        <v/>
      </c>
      <c r="U177" s="12" cm="1" t="str">
        <f t="array" ref="U177">IF(($N177="")*($P177=""),"",IF(($N177&lt;&gt;"")*($N177&gt;TODAY()-9)*($N177&lt;TODAY()+1)*($P177&lt;&gt;"")*($P177&gt;=TODAY())*($P177&lt;=TODAY()+13),"Semaine passée &amp; à venir",IF(($N177&lt;&gt;"")*($N177&gt;TODAY()-9)*($N177&lt;TODAY()+1),"Semaine passée",IF(($P177&lt;&gt;"")*($P177&gt;=TODAY())*($P177&lt;=TODAY()+13),"À venir","Autre"))))</f>
        <v/>
      </c>
      <c r="V177" cm="1" t="n">
        <f t="array" ref="V177">IF(C177&lt;&gt;"",1,0)</f>
        <v>0</v>
      </c>
    </row>
    <row r="178" ht="78.75" customHeight="1">
      <c r="A178" s="17">
</c>
      <c r="B178" s="13">
</c>
      <c r="C178" s="10">
</c>
      <c r="D178" s="18">
</c>
      <c r="E178" s="13">
</c>
      <c r="F178" s="13">
</c>
      <c r="G178" s="12" cm="1" t="str">
        <f t="array" ref="G178">IF(F178="","",SUBSTITUTE(SUBSTITUTE(SUBSTITUTE(SUBSTITUTE(F178,"&lt;li&gt;",CHAR(10)),"&lt;/li&gt;",""),"&lt;br&gt;",CHAR(10)),"&lt;strong&gt;",""))</f>
        <v/>
      </c>
      <c r="H178" s="12" cm="1" t="str">
        <f t="array" ref="H178">IF(G178="","",SUBSTITUTE(SUBSTITUTE(SUBSTITUTE(SUBSTITUTE(SUBSTITUTE(G178,"&lt;p&gt;",""),"&lt;/p&gt;",""),"&lt;ul&gt;",""),"&lt;/ul&gt;",""),"&lt;/strong&gt;",""))</f>
        <v/>
      </c>
      <c r="I178" s="12" cm="1" t="str">
        <f t="array" ref="I178">IF(C178="","",IF(OR(H178="",H178=0,H178=FALSE),"-",H178))</f>
        <v/>
      </c>
      <c r="J178" s="13">
</c>
      <c r="K178" s="13">
</c>
      <c r="L178" s="9" cm="1" t="str">
        <f t="array" ref="L178">IF(C178="","",IF(K178="Mort / Plus rien à faire","KO","OK"))</f>
        <v/>
      </c>
      <c r="M178" s="19">
</c>
      <c r="N178" s="14" cm="1" t="str">
        <f t="array" ref="N178">IF(OR(C178="",M178="",M178=0),"",M178)</f>
        <v/>
      </c>
      <c r="O178" s="19">
</c>
      <c r="P178" s="14" cm="1" t="str">
        <f t="array" ref="P178">IF(C178="","",IF(OR(O178="",O178=0),"-",O178))</f>
        <v/>
      </c>
      <c r="Q178" s="20">
</c>
      <c r="R178" s="9" cm="1" t="str">
        <f t="array" ref="R178">IF(C178="","",ROUND(Q178/1000000,3)&amp;" M€")</f>
        <v/>
      </c>
      <c r="S178" s="21">
</c>
      <c r="T178" s="9" cm="1" t="str">
        <f t="array" ref="T178">IF(C178="","",SUBSTITUTE(S178,"","")&amp;"%")</f>
        <v/>
      </c>
      <c r="U178" s="12" cm="1" t="str">
        <f t="array" ref="U178">IF(($N178="")*($P178=""),"",IF(($N178&lt;&gt;"")*($N178&gt;TODAY()-9)*($N178&lt;TODAY()+1)*($P178&lt;&gt;"")*($P178&gt;=TODAY())*($P178&lt;=TODAY()+13),"Semaine passée &amp; à venir",IF(($N178&lt;&gt;"")*($N178&gt;TODAY()-9)*($N178&lt;TODAY()+1),"Semaine passée",IF(($P178&lt;&gt;"")*($P178&gt;=TODAY())*($P178&lt;=TODAY()+13),"À venir","Autre"))))</f>
        <v/>
      </c>
      <c r="V178" cm="1" t="n">
        <f t="array" ref="V178">IF(C178&lt;&gt;"",1,0)</f>
        <v>0</v>
      </c>
    </row>
    <row r="179" ht="78.75" customHeight="1">
      <c r="A179" s="17">
</c>
      <c r="B179" s="13">
</c>
      <c r="C179" s="10">
</c>
      <c r="D179" s="18">
</c>
      <c r="E179" s="13">
</c>
      <c r="F179" s="13">
</c>
      <c r="G179" s="12" cm="1" t="str">
        <f t="array" ref="G179">IF(F179="","",SUBSTITUTE(SUBSTITUTE(SUBSTITUTE(SUBSTITUTE(F179,"&lt;li&gt;",CHAR(10)),"&lt;/li&gt;",""),"&lt;br&gt;",CHAR(10)),"&lt;strong&gt;",""))</f>
        <v/>
      </c>
      <c r="H179" s="12" cm="1" t="str">
        <f t="array" ref="H179">IF(G179="","",SUBSTITUTE(SUBSTITUTE(SUBSTITUTE(SUBSTITUTE(SUBSTITUTE(G179,"&lt;p&gt;",""),"&lt;/p&gt;",""),"&lt;ul&gt;",""),"&lt;/ul&gt;",""),"&lt;/strong&gt;",""))</f>
        <v/>
      </c>
      <c r="I179" s="12" cm="1" t="str">
        <f t="array" ref="I179">IF(C179="","",IF(OR(H179="",H179=0,H179=FALSE),"-",H179))</f>
        <v/>
      </c>
      <c r="J179" s="13">
</c>
      <c r="K179" s="13">
</c>
      <c r="L179" s="9" cm="1" t="str">
        <f t="array" ref="L179">IF(C179="","",IF(K179="Mort / Plus rien à faire","KO","OK"))</f>
        <v/>
      </c>
      <c r="M179" s="19">
</c>
      <c r="N179" s="14" cm="1" t="str">
        <f t="array" ref="N179">IF(OR(C179="",M179="",M179=0),"",M179)</f>
        <v/>
      </c>
      <c r="O179" s="19">
</c>
      <c r="P179" s="14" cm="1" t="str">
        <f t="array" ref="P179">IF(C179="","",IF(OR(O179="",O179=0),"-",O179))</f>
        <v/>
      </c>
      <c r="Q179" s="20">
</c>
      <c r="R179" s="9" cm="1" t="str">
        <f t="array" ref="R179">IF(C179="","",ROUND(Q179/1000000,3)&amp;" M€")</f>
        <v/>
      </c>
      <c r="S179" s="21">
</c>
      <c r="T179" s="9" cm="1" t="str">
        <f t="array" ref="T179">IF(C179="","",SUBSTITUTE(S179,"","")&amp;"%")</f>
        <v/>
      </c>
      <c r="U179" s="12" cm="1" t="str">
        <f t="array" ref="U179">IF(($N179="")*($P179=""),"",IF(($N179&lt;&gt;"")*($N179&gt;TODAY()-9)*($N179&lt;TODAY()+1)*($P179&lt;&gt;"")*($P179&gt;=TODAY())*($P179&lt;=TODAY()+13),"Semaine passée &amp; à venir",IF(($N179&lt;&gt;"")*($N179&gt;TODAY()-9)*($N179&lt;TODAY()+1),"Semaine passée",IF(($P179&lt;&gt;"")*($P179&gt;=TODAY())*($P179&lt;=TODAY()+13),"À venir","Autre"))))</f>
        <v/>
      </c>
      <c r="V179" cm="1" t="n">
        <f t="array" ref="V179">IF(C179&lt;&gt;"",1,0)</f>
        <v>0</v>
      </c>
    </row>
    <row r="180" ht="78.75" customHeight="1">
      <c r="A180" s="17">
</c>
      <c r="B180" s="13">
</c>
      <c r="C180" s="10">
</c>
      <c r="D180" s="18">
</c>
      <c r="E180" s="13">
</c>
      <c r="F180" s="13">
</c>
      <c r="G180" s="12" cm="1" t="str">
        <f t="array" ref="G180">IF(F180="","",SUBSTITUTE(SUBSTITUTE(SUBSTITUTE(SUBSTITUTE(F180,"&lt;li&gt;",CHAR(10)),"&lt;/li&gt;",""),"&lt;br&gt;",CHAR(10)),"&lt;strong&gt;",""))</f>
        <v/>
      </c>
      <c r="H180" s="12" cm="1" t="str">
        <f t="array" ref="H180">IF(G180="","",SUBSTITUTE(SUBSTITUTE(SUBSTITUTE(SUBSTITUTE(SUBSTITUTE(G180,"&lt;p&gt;",""),"&lt;/p&gt;",""),"&lt;ul&gt;",""),"&lt;/ul&gt;",""),"&lt;/strong&gt;",""))</f>
        <v/>
      </c>
      <c r="I180" s="12" cm="1" t="str">
        <f t="array" ref="I180">IF(C180="","",IF(OR(H180="",H180=0,H180=FALSE),"-",H180))</f>
        <v/>
      </c>
      <c r="J180" s="13">
</c>
      <c r="K180" s="13">
</c>
      <c r="L180" s="9" cm="1" t="str">
        <f t="array" ref="L180">IF(C180="","",IF(K180="Mort / Plus rien à faire","KO","OK"))</f>
        <v/>
      </c>
      <c r="M180" s="19">
</c>
      <c r="N180" s="14" cm="1" t="str">
        <f t="array" ref="N180">IF(OR(C180="",M180="",M180=0),"",M180)</f>
        <v/>
      </c>
      <c r="O180" s="19">
</c>
      <c r="P180" s="14" cm="1" t="str">
        <f t="array" ref="P180">IF(C180="","",IF(OR(O180="",O180=0),"-",O180))</f>
        <v/>
      </c>
      <c r="Q180" s="20">
</c>
      <c r="R180" s="9" cm="1" t="str">
        <f t="array" ref="R180">IF(C180="","",ROUND(Q180/1000000,3)&amp;" M€")</f>
        <v/>
      </c>
      <c r="S180" s="21">
</c>
      <c r="T180" s="9" cm="1" t="str">
        <f t="array" ref="T180">IF(C180="","",SUBSTITUTE(S180,"","")&amp;"%")</f>
        <v/>
      </c>
      <c r="U180" s="12" cm="1" t="str">
        <f t="array" ref="U180">IF(($N180="")*($P180=""),"",IF(($N180&lt;&gt;"")*($N180&gt;TODAY()-9)*($N180&lt;TODAY()+1)*($P180&lt;&gt;"")*($P180&gt;=TODAY())*($P180&lt;=TODAY()+13),"Semaine passée &amp; à venir",IF(($N180&lt;&gt;"")*($N180&gt;TODAY()-9)*($N180&lt;TODAY()+1),"Semaine passée",IF(($P180&lt;&gt;"")*($P180&gt;=TODAY())*($P180&lt;=TODAY()+13),"À venir","Autre"))))</f>
        <v/>
      </c>
      <c r="V180" cm="1" t="n">
        <f t="array" ref="V180">IF(C180&lt;&gt;"",1,0)</f>
        <v>0</v>
      </c>
    </row>
    <row r="181" ht="78.75" customHeight="1">
      <c r="A181" s="17">
</c>
      <c r="B181" s="13">
</c>
      <c r="C181" s="10">
</c>
      <c r="D181" s="18">
</c>
      <c r="E181" s="13">
</c>
      <c r="F181" s="13">
</c>
      <c r="G181" s="12" cm="1" t="str">
        <f t="array" ref="G181">IF(F181="","",SUBSTITUTE(SUBSTITUTE(SUBSTITUTE(SUBSTITUTE(F181,"&lt;li&gt;",CHAR(10)),"&lt;/li&gt;",""),"&lt;br&gt;",CHAR(10)),"&lt;strong&gt;",""))</f>
        <v/>
      </c>
      <c r="H181" s="12" cm="1" t="str">
        <f t="array" ref="H181">IF(G181="","",SUBSTITUTE(SUBSTITUTE(SUBSTITUTE(SUBSTITUTE(SUBSTITUTE(G181,"&lt;p&gt;",""),"&lt;/p&gt;",""),"&lt;ul&gt;",""),"&lt;/ul&gt;",""),"&lt;/strong&gt;",""))</f>
        <v/>
      </c>
      <c r="I181" s="12" cm="1" t="str">
        <f t="array" ref="I181">IF(C181="","",IF(OR(H181="",H181=0,H181=FALSE),"-",H181))</f>
        <v/>
      </c>
      <c r="J181" s="13">
</c>
      <c r="K181" s="13">
</c>
      <c r="L181" s="9" cm="1" t="str">
        <f t="array" ref="L181">IF(C181="","",IF(K181="Mort / Plus rien à faire","KO","OK"))</f>
        <v/>
      </c>
      <c r="M181" s="19">
</c>
      <c r="N181" s="14" cm="1" t="str">
        <f t="array" ref="N181">IF(OR(C181="",M181="",M181=0),"",M181)</f>
        <v/>
      </c>
      <c r="O181" s="19">
</c>
      <c r="P181" s="14" cm="1" t="str">
        <f t="array" ref="P181">IF(C181="","",IF(OR(O181="",O181=0),"-",O181))</f>
        <v/>
      </c>
      <c r="Q181" s="20">
</c>
      <c r="R181" s="9" cm="1" t="str">
        <f t="array" ref="R181">IF(C181="","",ROUND(Q181/1000000,3)&amp;" M€")</f>
        <v/>
      </c>
      <c r="S181" s="21">
</c>
      <c r="T181" s="9" cm="1" t="str">
        <f t="array" ref="T181">IF(C181="","",SUBSTITUTE(S181,"","")&amp;"%")</f>
        <v/>
      </c>
      <c r="U181" s="12" cm="1" t="str">
        <f t="array" ref="U181">IF(($N181="")*($P181=""),"",IF(($N181&lt;&gt;"")*($N181&gt;TODAY()-9)*($N181&lt;TODAY()+1)*($P181&lt;&gt;"")*($P181&gt;=TODAY())*($P181&lt;=TODAY()+13),"Semaine passée &amp; à venir",IF(($N181&lt;&gt;"")*($N181&gt;TODAY()-9)*($N181&lt;TODAY()+1),"Semaine passée",IF(($P181&lt;&gt;"")*($P181&gt;=TODAY())*($P181&lt;=TODAY()+13),"À venir","Autre"))))</f>
        <v/>
      </c>
      <c r="V181" cm="1" t="n">
        <f t="array" ref="V181">IF(C181&lt;&gt;"",1,0)</f>
        <v>0</v>
      </c>
    </row>
    <row r="182" ht="78.75" customHeight="1">
      <c r="A182" s="17">
</c>
      <c r="B182" s="13">
</c>
      <c r="C182" s="10">
</c>
      <c r="D182" s="18">
</c>
      <c r="E182" s="13">
</c>
      <c r="F182" s="13">
</c>
      <c r="G182" s="12" cm="1" t="str">
        <f t="array" ref="G182">IF(F182="","",SUBSTITUTE(SUBSTITUTE(SUBSTITUTE(SUBSTITUTE(F182,"&lt;li&gt;",CHAR(10)),"&lt;/li&gt;",""),"&lt;br&gt;",CHAR(10)),"&lt;strong&gt;",""))</f>
        <v/>
      </c>
      <c r="H182" s="12" cm="1" t="str">
        <f t="array" ref="H182">IF(G182="","",SUBSTITUTE(SUBSTITUTE(SUBSTITUTE(SUBSTITUTE(SUBSTITUTE(G182,"&lt;p&gt;",""),"&lt;/p&gt;",""),"&lt;ul&gt;",""),"&lt;/ul&gt;",""),"&lt;/strong&gt;",""))</f>
        <v/>
      </c>
      <c r="I182" s="12" cm="1" t="str">
        <f t="array" ref="I182">IF(C182="","",IF(OR(H182="",H182=0,H182=FALSE),"-",H182))</f>
        <v/>
      </c>
      <c r="J182" s="13">
</c>
      <c r="K182" s="13">
</c>
      <c r="L182" s="9" cm="1" t="str">
        <f t="array" ref="L182">IF(C182="","",IF(K182="Mort / Plus rien à faire","KO","OK"))</f>
        <v/>
      </c>
      <c r="M182" s="19">
</c>
      <c r="N182" s="14" cm="1" t="str">
        <f t="array" ref="N182">IF(OR(C182="",M182="",M182=0),"",M182)</f>
        <v/>
      </c>
      <c r="O182" s="19">
</c>
      <c r="P182" s="14" cm="1" t="str">
        <f t="array" ref="P182">IF(C182="","",IF(OR(O182="",O182=0),"-",O182))</f>
        <v/>
      </c>
      <c r="Q182" s="20">
</c>
      <c r="R182" s="9" cm="1" t="str">
        <f t="array" ref="R182">IF(C182="","",ROUND(Q182/1000000,3)&amp;" M€")</f>
        <v/>
      </c>
      <c r="S182" s="21">
</c>
      <c r="T182" s="9" cm="1" t="str">
        <f t="array" ref="T182">IF(C182="","",SUBSTITUTE(S182,"","")&amp;"%")</f>
        <v/>
      </c>
      <c r="U182" s="12" cm="1" t="str">
        <f t="array" ref="U182">IF(($N182="")*($P182=""),"",IF(($N182&lt;&gt;"")*($N182&gt;TODAY()-9)*($N182&lt;TODAY()+1)*($P182&lt;&gt;"")*($P182&gt;=TODAY())*($P182&lt;=TODAY()+13),"Semaine passée &amp; à venir",IF(($N182&lt;&gt;"")*($N182&gt;TODAY()-9)*($N182&lt;TODAY()+1),"Semaine passée",IF(($P182&lt;&gt;"")*($P182&gt;=TODAY())*($P182&lt;=TODAY()+13),"À venir","Autre"))))</f>
        <v/>
      </c>
      <c r="V182" cm="1" t="n">
        <f t="array" ref="V182">IF(C182&lt;&gt;"",1,0)</f>
        <v>0</v>
      </c>
    </row>
    <row r="183" ht="78.75" customHeight="1">
      <c r="A183" s="17">
</c>
      <c r="B183" s="13">
</c>
      <c r="C183" s="10">
</c>
      <c r="D183" s="18">
</c>
      <c r="E183" s="13">
</c>
      <c r="F183" s="13">
</c>
      <c r="G183" s="12" cm="1" t="str">
        <f t="array" ref="G183">IF(F183="","",SUBSTITUTE(SUBSTITUTE(SUBSTITUTE(SUBSTITUTE(F183,"&lt;li&gt;",CHAR(10)),"&lt;/li&gt;",""),"&lt;br&gt;",CHAR(10)),"&lt;strong&gt;",""))</f>
        <v/>
      </c>
      <c r="H183" s="12" cm="1" t="str">
        <f t="array" ref="H183">IF(G183="","",SUBSTITUTE(SUBSTITUTE(SUBSTITUTE(SUBSTITUTE(SUBSTITUTE(G183,"&lt;p&gt;",""),"&lt;/p&gt;",""),"&lt;ul&gt;",""),"&lt;/ul&gt;",""),"&lt;/strong&gt;",""))</f>
        <v/>
      </c>
      <c r="I183" s="12" cm="1" t="str">
        <f t="array" ref="I183">IF(C183="","",IF(OR(H183="",H183=0,H183=FALSE),"-",H183))</f>
        <v/>
      </c>
      <c r="J183" s="13">
</c>
      <c r="K183" s="13">
</c>
      <c r="L183" s="9" cm="1" t="str">
        <f t="array" ref="L183">IF(C183="","",IF(K183="Mort / Plus rien à faire","KO","OK"))</f>
        <v/>
      </c>
      <c r="M183" s="19">
</c>
      <c r="N183" s="14" cm="1" t="str">
        <f t="array" ref="N183">IF(OR(C183="",M183="",M183=0),"",M183)</f>
        <v/>
      </c>
      <c r="O183" s="19">
</c>
      <c r="P183" s="14" cm="1" t="str">
        <f t="array" ref="P183">IF(C183="","",IF(OR(O183="",O183=0),"-",O183))</f>
        <v/>
      </c>
      <c r="Q183" s="20">
</c>
      <c r="R183" s="9" cm="1" t="str">
        <f t="array" ref="R183">IF(C183="","",ROUND(Q183/1000000,3)&amp;" M€")</f>
        <v/>
      </c>
      <c r="S183" s="21">
</c>
      <c r="T183" s="9" cm="1" t="str">
        <f t="array" ref="T183">IF(C183="","",SUBSTITUTE(S183,"","")&amp;"%")</f>
        <v/>
      </c>
      <c r="U183" s="12" cm="1" t="str">
        <f t="array" ref="U183">IF(($N183="")*($P183=""),"",IF(($N183&lt;&gt;"")*($N183&gt;TODAY()-9)*($N183&lt;TODAY()+1)*($P183&lt;&gt;"")*($P183&gt;=TODAY())*($P183&lt;=TODAY()+13),"Semaine passée &amp; à venir",IF(($N183&lt;&gt;"")*($N183&gt;TODAY()-9)*($N183&lt;TODAY()+1),"Semaine passée",IF(($P183&lt;&gt;"")*($P183&gt;=TODAY())*($P183&lt;=TODAY()+13),"À venir","Autre"))))</f>
        <v/>
      </c>
      <c r="V183" cm="1" t="n">
        <f t="array" ref="V183">IF(C183&lt;&gt;"",1,0)</f>
        <v>0</v>
      </c>
    </row>
    <row r="184" ht="78.75" customHeight="1">
      <c r="A184" s="17">
</c>
      <c r="B184" s="13">
</c>
      <c r="C184" s="10">
</c>
      <c r="D184" s="18">
</c>
      <c r="E184" s="13">
</c>
      <c r="F184" s="13">
</c>
      <c r="G184" s="12" cm="1" t="str">
        <f t="array" ref="G184">IF(F184="","",SUBSTITUTE(SUBSTITUTE(SUBSTITUTE(SUBSTITUTE(F184,"&lt;li&gt;",CHAR(10)),"&lt;/li&gt;",""),"&lt;br&gt;",CHAR(10)),"&lt;strong&gt;",""))</f>
        <v/>
      </c>
      <c r="H184" s="12" cm="1" t="str">
        <f t="array" ref="H184">IF(G184="","",SUBSTITUTE(SUBSTITUTE(SUBSTITUTE(SUBSTITUTE(SUBSTITUTE(G184,"&lt;p&gt;",""),"&lt;/p&gt;",""),"&lt;ul&gt;",""),"&lt;/ul&gt;",""),"&lt;/strong&gt;",""))</f>
        <v/>
      </c>
      <c r="I184" s="12" cm="1" t="str">
        <f t="array" ref="I184">IF(C184="","",IF(OR(H184="",H184=0,H184=FALSE),"-",H184))</f>
        <v/>
      </c>
      <c r="J184" s="13">
</c>
      <c r="K184" s="13">
</c>
      <c r="L184" s="9" cm="1" t="str">
        <f t="array" ref="L184">IF(C184="","",IF(K184="Mort / Plus rien à faire","KO","OK"))</f>
        <v/>
      </c>
      <c r="M184" s="19">
</c>
      <c r="N184" s="14" cm="1" t="str">
        <f t="array" ref="N184">IF(OR(C184="",M184="",M184=0),"",M184)</f>
        <v/>
      </c>
      <c r="O184" s="19">
</c>
      <c r="P184" s="14" cm="1" t="str">
        <f t="array" ref="P184">IF(C184="","",IF(OR(O184="",O184=0),"-",O184))</f>
        <v/>
      </c>
      <c r="Q184" s="20">
</c>
      <c r="R184" s="9" cm="1" t="str">
        <f t="array" ref="R184">IF(C184="","",ROUND(Q184/1000000,3)&amp;" M€")</f>
        <v/>
      </c>
      <c r="S184" s="21">
</c>
      <c r="T184" s="9" cm="1" t="str">
        <f t="array" ref="T184">IF(C184="","",SUBSTITUTE(S184,"","")&amp;"%")</f>
        <v/>
      </c>
      <c r="U184" s="12" cm="1" t="str">
        <f t="array" ref="U184">IF(($N184="")*($P184=""),"",IF(($N184&lt;&gt;"")*($N184&gt;TODAY()-9)*($N184&lt;TODAY()+1)*($P184&lt;&gt;"")*($P184&gt;=TODAY())*($P184&lt;=TODAY()+13),"Semaine passée &amp; à venir",IF(($N184&lt;&gt;"")*($N184&gt;TODAY()-9)*($N184&lt;TODAY()+1),"Semaine passée",IF(($P184&lt;&gt;"")*($P184&gt;=TODAY())*($P184&lt;=TODAY()+13),"À venir","Autre"))))</f>
        <v/>
      </c>
      <c r="V184" cm="1" t="n">
        <f t="array" ref="V184">IF(C184&lt;&gt;"",1,0)</f>
        <v>0</v>
      </c>
    </row>
    <row r="185" ht="78.75" customHeight="1">
      <c r="A185" s="17">
</c>
      <c r="B185" s="13">
</c>
      <c r="C185" s="10">
</c>
      <c r="D185" s="18">
</c>
      <c r="E185" s="13">
</c>
      <c r="F185" s="13">
</c>
      <c r="G185" s="12" cm="1" t="str">
        <f t="array" ref="G185">IF(F185="","",SUBSTITUTE(SUBSTITUTE(SUBSTITUTE(SUBSTITUTE(F185,"&lt;li&gt;",CHAR(10)),"&lt;/li&gt;",""),"&lt;br&gt;",CHAR(10)),"&lt;strong&gt;",""))</f>
        <v/>
      </c>
      <c r="H185" s="12" cm="1" t="str">
        <f t="array" ref="H185">IF(G185="","",SUBSTITUTE(SUBSTITUTE(SUBSTITUTE(SUBSTITUTE(SUBSTITUTE(G185,"&lt;p&gt;",""),"&lt;/p&gt;",""),"&lt;ul&gt;",""),"&lt;/ul&gt;",""),"&lt;/strong&gt;",""))</f>
        <v/>
      </c>
      <c r="I185" s="12" cm="1" t="str">
        <f t="array" ref="I185">IF(C185="","",IF(OR(H185="",H185=0,H185=FALSE),"-",H185))</f>
        <v/>
      </c>
      <c r="J185" s="13">
</c>
      <c r="K185" s="13">
</c>
      <c r="L185" s="9" cm="1" t="str">
        <f t="array" ref="L185">IF(C185="","",IF(K185="Mort / Plus rien à faire","KO","OK"))</f>
        <v/>
      </c>
      <c r="M185" s="19">
</c>
      <c r="N185" s="14" cm="1" t="str">
        <f t="array" ref="N185">IF(OR(C185="",M185="",M185=0),"",M185)</f>
        <v/>
      </c>
      <c r="O185" s="19">
</c>
      <c r="P185" s="14" cm="1" t="str">
        <f t="array" ref="P185">IF(C185="","",IF(OR(O185="",O185=0),"-",O185))</f>
        <v/>
      </c>
      <c r="Q185" s="20">
</c>
      <c r="R185" s="9" cm="1" t="str">
        <f t="array" ref="R185">IF(C185="","",ROUND(Q185/1000000,3)&amp;" M€")</f>
        <v/>
      </c>
      <c r="S185" s="21">
</c>
      <c r="T185" s="9" cm="1" t="str">
        <f t="array" ref="T185">IF(C185="","",SUBSTITUTE(S185,"","")&amp;"%")</f>
        <v/>
      </c>
      <c r="U185" s="12" cm="1" t="str">
        <f t="array" ref="U185">IF(($N185="")*($P185=""),"",IF(($N185&lt;&gt;"")*($N185&gt;TODAY()-9)*($N185&lt;TODAY()+1)*($P185&lt;&gt;"")*($P185&gt;=TODAY())*($P185&lt;=TODAY()+13),"Semaine passée &amp; à venir",IF(($N185&lt;&gt;"")*($N185&gt;TODAY()-9)*($N185&lt;TODAY()+1),"Semaine passée",IF(($P185&lt;&gt;"")*($P185&gt;=TODAY())*($P185&lt;=TODAY()+13),"À venir","Autre"))))</f>
        <v/>
      </c>
      <c r="V185" cm="1" t="n">
        <f t="array" ref="V185">IF(C185&lt;&gt;"",1,0)</f>
        <v>0</v>
      </c>
    </row>
    <row r="186" ht="78.75" customHeight="1">
      <c r="A186" s="17">
</c>
      <c r="B186" s="13">
</c>
      <c r="C186" s="10">
</c>
      <c r="D186" s="18">
</c>
      <c r="E186" s="13">
</c>
      <c r="F186" s="13">
</c>
      <c r="G186" s="12" cm="1" t="str">
        <f t="array" ref="G186">IF(F186="","",SUBSTITUTE(SUBSTITUTE(SUBSTITUTE(SUBSTITUTE(F186,"&lt;li&gt;",CHAR(10)),"&lt;/li&gt;",""),"&lt;br&gt;",CHAR(10)),"&lt;strong&gt;",""))</f>
        <v/>
      </c>
      <c r="H186" s="12" cm="1" t="str">
        <f t="array" ref="H186">IF(G186="","",SUBSTITUTE(SUBSTITUTE(SUBSTITUTE(SUBSTITUTE(SUBSTITUTE(G186,"&lt;p&gt;",""),"&lt;/p&gt;",""),"&lt;ul&gt;",""),"&lt;/ul&gt;",""),"&lt;/strong&gt;",""))</f>
        <v/>
      </c>
      <c r="I186" s="12" cm="1" t="str">
        <f t="array" ref="I186">IF(C186="","",IF(OR(H186="",H186=0,H186=FALSE),"-",H186))</f>
        <v/>
      </c>
      <c r="J186" s="13">
</c>
      <c r="K186" s="13">
</c>
      <c r="L186" s="9" cm="1" t="str">
        <f t="array" ref="L186">IF(C186="","",IF(K186="Mort / Plus rien à faire","KO","OK"))</f>
        <v/>
      </c>
      <c r="M186" s="19">
</c>
      <c r="N186" s="14" cm="1" t="str">
        <f t="array" ref="N186">IF(OR(C186="",M186="",M186=0),"",M186)</f>
        <v/>
      </c>
      <c r="O186" s="19">
</c>
      <c r="P186" s="14" cm="1" t="str">
        <f t="array" ref="P186">IF(C186="","",IF(OR(O186="",O186=0),"-",O186))</f>
        <v/>
      </c>
      <c r="Q186" s="20">
</c>
      <c r="R186" s="9" cm="1" t="str">
        <f t="array" ref="R186">IF(C186="","",ROUND(Q186/1000000,3)&amp;" M€")</f>
        <v/>
      </c>
      <c r="S186" s="21">
</c>
      <c r="T186" s="9" cm="1" t="str">
        <f t="array" ref="T186">IF(C186="","",SUBSTITUTE(S186,"","")&amp;"%")</f>
        <v/>
      </c>
      <c r="U186" s="12" cm="1" t="str">
        <f t="array" ref="U186">IF(($N186="")*($P186=""),"",IF(($N186&lt;&gt;"")*($N186&gt;TODAY()-9)*($N186&lt;TODAY()+1)*($P186&lt;&gt;"")*($P186&gt;=TODAY())*($P186&lt;=TODAY()+13),"Semaine passée &amp; à venir",IF(($N186&lt;&gt;"")*($N186&gt;TODAY()-9)*($N186&lt;TODAY()+1),"Semaine passée",IF(($P186&lt;&gt;"")*($P186&gt;=TODAY())*($P186&lt;=TODAY()+13),"À venir","Autre"))))</f>
        <v/>
      </c>
      <c r="V186" cm="1" t="n">
        <f t="array" ref="V186">IF(C186&lt;&gt;"",1,0)</f>
        <v>0</v>
      </c>
    </row>
    <row r="187" ht="78.75" customHeight="1">
      <c r="A187" s="17">
</c>
      <c r="B187" s="13">
</c>
      <c r="C187" s="10">
</c>
      <c r="D187" s="18">
</c>
      <c r="E187" s="13">
</c>
      <c r="F187" s="13">
</c>
      <c r="G187" s="12" cm="1" t="str">
        <f t="array" ref="G187">IF(F187="","",SUBSTITUTE(SUBSTITUTE(SUBSTITUTE(SUBSTITUTE(F187,"&lt;li&gt;",CHAR(10)),"&lt;/li&gt;",""),"&lt;br&gt;",CHAR(10)),"&lt;strong&gt;",""))</f>
        <v/>
      </c>
      <c r="H187" s="12" cm="1" t="str">
        <f t="array" ref="H187">IF(G187="","",SUBSTITUTE(SUBSTITUTE(SUBSTITUTE(SUBSTITUTE(SUBSTITUTE(G187,"&lt;p&gt;",""),"&lt;/p&gt;",""),"&lt;ul&gt;",""),"&lt;/ul&gt;",""),"&lt;/strong&gt;",""))</f>
        <v/>
      </c>
      <c r="I187" s="12" cm="1" t="str">
        <f t="array" ref="I187">IF(C187="","",IF(OR(H187="",H187=0,H187=FALSE),"-",H187))</f>
        <v/>
      </c>
      <c r="J187" s="13">
</c>
      <c r="K187" s="13">
</c>
      <c r="L187" s="9" cm="1" t="str">
        <f t="array" ref="L187">IF(C187="","",IF(K187="Mort / Plus rien à faire","KO","OK"))</f>
        <v/>
      </c>
      <c r="M187" s="19">
</c>
      <c r="N187" s="14" cm="1" t="str">
        <f t="array" ref="N187">IF(OR(C187="",M187="",M187=0),"",M187)</f>
        <v/>
      </c>
      <c r="O187" s="19">
</c>
      <c r="P187" s="14" cm="1" t="str">
        <f t="array" ref="P187">IF(C187="","",IF(OR(O187="",O187=0),"-",O187))</f>
        <v/>
      </c>
      <c r="Q187" s="20">
</c>
      <c r="R187" s="9" cm="1" t="str">
        <f t="array" ref="R187">IF(C187="","",ROUND(Q187/1000000,3)&amp;" M€")</f>
        <v/>
      </c>
      <c r="S187" s="21">
</c>
      <c r="T187" s="9" cm="1" t="str">
        <f t="array" ref="T187">IF(C187="","",SUBSTITUTE(S187,"","")&amp;"%")</f>
        <v/>
      </c>
      <c r="U187" s="12" cm="1" t="str">
        <f t="array" ref="U187">IF(($N187="")*($P187=""),"",IF(($N187&lt;&gt;"")*($N187&gt;TODAY()-9)*($N187&lt;TODAY()+1)*($P187&lt;&gt;"")*($P187&gt;=TODAY())*($P187&lt;=TODAY()+13),"Semaine passée &amp; à venir",IF(($N187&lt;&gt;"")*($N187&gt;TODAY()-9)*($N187&lt;TODAY()+1),"Semaine passée",IF(($P187&lt;&gt;"")*($P187&gt;=TODAY())*($P187&lt;=TODAY()+13),"À venir","Autre"))))</f>
        <v/>
      </c>
      <c r="V187" cm="1" t="n">
        <f t="array" ref="V187">IF(C187&lt;&gt;"",1,0)</f>
        <v>0</v>
      </c>
    </row>
    <row r="188" ht="78.75" customHeight="1">
      <c r="A188" s="17">
</c>
      <c r="B188" s="13">
</c>
      <c r="C188" s="10">
</c>
      <c r="D188" s="18">
</c>
      <c r="E188" s="13">
</c>
      <c r="F188" s="13">
</c>
      <c r="G188" s="12" cm="1" t="str">
        <f t="array" ref="G188">IF(F188="","",SUBSTITUTE(SUBSTITUTE(SUBSTITUTE(SUBSTITUTE(F188,"&lt;li&gt;",CHAR(10)),"&lt;/li&gt;",""),"&lt;br&gt;",CHAR(10)),"&lt;strong&gt;",""))</f>
        <v/>
      </c>
      <c r="H188" s="12" cm="1" t="str">
        <f t="array" ref="H188">IF(G188="","",SUBSTITUTE(SUBSTITUTE(SUBSTITUTE(SUBSTITUTE(SUBSTITUTE(G188,"&lt;p&gt;",""),"&lt;/p&gt;",""),"&lt;ul&gt;",""),"&lt;/ul&gt;",""),"&lt;/strong&gt;",""))</f>
        <v/>
      </c>
      <c r="I188" s="12" cm="1" t="str">
        <f t="array" ref="I188">IF(C188="","",IF(OR(H188="",H188=0,H188=FALSE),"-",H188))</f>
        <v/>
      </c>
      <c r="J188" s="13">
</c>
      <c r="K188" s="13">
</c>
      <c r="L188" s="9" cm="1" t="str">
        <f t="array" ref="L188">IF(C188="","",IF(K188="Mort / Plus rien à faire","KO","OK"))</f>
        <v/>
      </c>
      <c r="M188" s="19">
</c>
      <c r="N188" s="14" cm="1" t="str">
        <f t="array" ref="N188">IF(OR(C188="",M188="",M188=0),"",M188)</f>
        <v/>
      </c>
      <c r="O188" s="19">
</c>
      <c r="P188" s="14" cm="1" t="str">
        <f t="array" ref="P188">IF(C188="","",IF(OR(O188="",O188=0),"-",O188))</f>
        <v/>
      </c>
      <c r="Q188" s="20">
</c>
      <c r="R188" s="9" cm="1" t="str">
        <f t="array" ref="R188">IF(C188="","",ROUND(Q188/1000000,3)&amp;" M€")</f>
        <v/>
      </c>
      <c r="S188" s="21">
</c>
      <c r="T188" s="9" cm="1" t="str">
        <f t="array" ref="T188">IF(C188="","",SUBSTITUTE(S188,"","")&amp;"%")</f>
        <v/>
      </c>
      <c r="U188" s="12" cm="1" t="str">
        <f t="array" ref="U188">IF(($N188="")*($P188=""),"",IF(($N188&lt;&gt;"")*($N188&gt;TODAY()-9)*($N188&lt;TODAY()+1)*($P188&lt;&gt;"")*($P188&gt;=TODAY())*($P188&lt;=TODAY()+13),"Semaine passée &amp; à venir",IF(($N188&lt;&gt;"")*($N188&gt;TODAY()-9)*($N188&lt;TODAY()+1),"Semaine passée",IF(($P188&lt;&gt;"")*($P188&gt;=TODAY())*($P188&lt;=TODAY()+13),"À venir","Autre"))))</f>
        <v/>
      </c>
      <c r="V188" cm="1" t="n">
        <f t="array" ref="V188">IF(C188&lt;&gt;"",1,0)</f>
        <v>0</v>
      </c>
    </row>
    <row r="189" ht="78.75" customHeight="1">
      <c r="A189" s="17">
</c>
      <c r="B189" s="13">
</c>
      <c r="C189" s="10">
</c>
      <c r="D189" s="18">
</c>
      <c r="E189" s="13">
</c>
      <c r="F189" s="13">
</c>
      <c r="G189" s="12" cm="1" t="str">
        <f t="array" ref="G189">IF(F189="","",SUBSTITUTE(SUBSTITUTE(SUBSTITUTE(SUBSTITUTE(F189,"&lt;li&gt;",CHAR(10)),"&lt;/li&gt;",""),"&lt;br&gt;",CHAR(10)),"&lt;strong&gt;",""))</f>
        <v/>
      </c>
      <c r="H189" s="12" cm="1" t="str">
        <f t="array" ref="H189">IF(G189="","",SUBSTITUTE(SUBSTITUTE(SUBSTITUTE(SUBSTITUTE(SUBSTITUTE(G189,"&lt;p&gt;",""),"&lt;/p&gt;",""),"&lt;ul&gt;",""),"&lt;/ul&gt;",""),"&lt;/strong&gt;",""))</f>
        <v/>
      </c>
      <c r="I189" s="12" cm="1" t="str">
        <f t="array" ref="I189">IF(C189="","",IF(OR(H189="",H189=0,H189=FALSE),"-",H189))</f>
        <v/>
      </c>
      <c r="J189" s="13">
</c>
      <c r="K189" s="13">
</c>
      <c r="L189" s="9" cm="1" t="str">
        <f t="array" ref="L189">IF(C189="","",IF(K189="Mort / Plus rien à faire","KO","OK"))</f>
        <v/>
      </c>
      <c r="M189" s="19">
</c>
      <c r="N189" s="14" cm="1" t="str">
        <f t="array" ref="N189">IF(OR(C189="",M189="",M189=0),"",M189)</f>
        <v/>
      </c>
      <c r="O189" s="19">
</c>
      <c r="P189" s="14" cm="1" t="str">
        <f t="array" ref="P189">IF(C189="","",IF(OR(O189="",O189=0),"-",O189))</f>
        <v/>
      </c>
      <c r="Q189" s="20">
</c>
      <c r="R189" s="9" cm="1" t="str">
        <f t="array" ref="R189">IF(C189="","",ROUND(Q189/1000000,3)&amp;" M€")</f>
        <v/>
      </c>
      <c r="S189" s="21">
</c>
      <c r="T189" s="9" cm="1" t="str">
        <f t="array" ref="T189">IF(C189="","",SUBSTITUTE(S189,"","")&amp;"%")</f>
        <v/>
      </c>
      <c r="U189" s="12" cm="1" t="str">
        <f t="array" ref="U189">IF(($N189="")*($P189=""),"",IF(($N189&lt;&gt;"")*($N189&gt;TODAY()-9)*($N189&lt;TODAY()+1)*($P189&lt;&gt;"")*($P189&gt;=TODAY())*($P189&lt;=TODAY()+13),"Semaine passée &amp; à venir",IF(($N189&lt;&gt;"")*($N189&gt;TODAY()-9)*($N189&lt;TODAY()+1),"Semaine passée",IF(($P189&lt;&gt;"")*($P189&gt;=TODAY())*($P189&lt;=TODAY()+13),"À venir","Autre"))))</f>
        <v/>
      </c>
      <c r="V189" cm="1" t="n">
        <f t="array" ref="V189">IF(C189&lt;&gt;"",1,0)</f>
        <v>0</v>
      </c>
    </row>
    <row r="190" ht="78.75" customHeight="1">
      <c r="A190" s="17">
</c>
      <c r="B190" s="13">
</c>
      <c r="C190" s="10">
</c>
      <c r="D190" s="18">
</c>
      <c r="E190" s="13">
</c>
      <c r="F190" s="13">
</c>
      <c r="G190" s="12" cm="1" t="str">
        <f t="array" ref="G190">IF(F190="","",SUBSTITUTE(SUBSTITUTE(SUBSTITUTE(SUBSTITUTE(F190,"&lt;li&gt;",CHAR(10)),"&lt;/li&gt;",""),"&lt;br&gt;",CHAR(10)),"&lt;strong&gt;",""))</f>
        <v/>
      </c>
      <c r="H190" s="12" cm="1" t="str">
        <f t="array" ref="H190">IF(G190="","",SUBSTITUTE(SUBSTITUTE(SUBSTITUTE(SUBSTITUTE(SUBSTITUTE(G190,"&lt;p&gt;",""),"&lt;/p&gt;",""),"&lt;ul&gt;",""),"&lt;/ul&gt;",""),"&lt;/strong&gt;",""))</f>
        <v/>
      </c>
      <c r="I190" s="12" cm="1" t="str">
        <f t="array" ref="I190">IF(C190="","",IF(OR(H190="",H190=0,H190=FALSE),"-",H190))</f>
        <v/>
      </c>
      <c r="J190" s="13">
</c>
      <c r="K190" s="13">
</c>
      <c r="L190" s="9" cm="1" t="str">
        <f t="array" ref="L190">IF(C190="","",IF(K190="Mort / Plus rien à faire","KO","OK"))</f>
        <v/>
      </c>
      <c r="M190" s="19">
</c>
      <c r="N190" s="14" cm="1" t="str">
        <f t="array" ref="N190">IF(OR(C190="",M190="",M190=0),"",M190)</f>
        <v/>
      </c>
      <c r="O190" s="19">
</c>
      <c r="P190" s="14" cm="1" t="str">
        <f t="array" ref="P190">IF(C190="","",IF(OR(O190="",O190=0),"-",O190))</f>
        <v/>
      </c>
      <c r="Q190" s="20">
</c>
      <c r="R190" s="9" cm="1" t="str">
        <f t="array" ref="R190">IF(C190="","",ROUND(Q190/1000000,3)&amp;" M€")</f>
        <v/>
      </c>
      <c r="S190" s="21">
</c>
      <c r="T190" s="9" cm="1" t="str">
        <f t="array" ref="T190">IF(C190="","",SUBSTITUTE(S190,"","")&amp;"%")</f>
        <v/>
      </c>
      <c r="U190" s="12" cm="1" t="str">
        <f t="array" ref="U190">IF(($N190="")*($P190=""),"",IF(($N190&lt;&gt;"")*($N190&gt;TODAY()-9)*($N190&lt;TODAY()+1)*($P190&lt;&gt;"")*($P190&gt;=TODAY())*($P190&lt;=TODAY()+13),"Semaine passée &amp; à venir",IF(($N190&lt;&gt;"")*($N190&gt;TODAY()-9)*($N190&lt;TODAY()+1),"Semaine passée",IF(($P190&lt;&gt;"")*($P190&gt;=TODAY())*($P190&lt;=TODAY()+13),"À venir","Autre"))))</f>
        <v/>
      </c>
      <c r="V190" cm="1" t="n">
        <f t="array" ref="V190">IF(C190&lt;&gt;"",1,0)</f>
        <v>0</v>
      </c>
    </row>
    <row r="191" ht="78.75" customHeight="1">
      <c r="A191" s="17">
</c>
      <c r="B191" s="13">
</c>
      <c r="C191" s="10">
</c>
      <c r="D191" s="18">
</c>
      <c r="E191" s="13">
</c>
      <c r="F191" s="13">
</c>
      <c r="G191" s="12" cm="1" t="str">
        <f t="array" ref="G191">IF(F191="","",SUBSTITUTE(SUBSTITUTE(SUBSTITUTE(SUBSTITUTE(F191,"&lt;li&gt;",CHAR(10)),"&lt;/li&gt;",""),"&lt;br&gt;",CHAR(10)),"&lt;strong&gt;",""))</f>
        <v/>
      </c>
      <c r="H191" s="12" cm="1" t="str">
        <f t="array" ref="H191">IF(G191="","",SUBSTITUTE(SUBSTITUTE(SUBSTITUTE(SUBSTITUTE(SUBSTITUTE(G191,"&lt;p&gt;",""),"&lt;/p&gt;",""),"&lt;ul&gt;",""),"&lt;/ul&gt;",""),"&lt;/strong&gt;",""))</f>
        <v/>
      </c>
      <c r="I191" s="12" cm="1" t="str">
        <f t="array" ref="I191">IF(C191="","",IF(OR(H191="",H191=0,H191=FALSE),"-",H191))</f>
        <v/>
      </c>
      <c r="J191" s="13">
</c>
      <c r="K191" s="13">
</c>
      <c r="L191" s="9" cm="1" t="str">
        <f t="array" ref="L191">IF(C191="","",IF(K191="Mort / Plus rien à faire","KO","OK"))</f>
        <v/>
      </c>
      <c r="M191" s="19">
</c>
      <c r="N191" s="14" cm="1" t="str">
        <f t="array" ref="N191">IF(OR(C191="",M191="",M191=0),"",M191)</f>
        <v/>
      </c>
      <c r="O191" s="19">
</c>
      <c r="P191" s="14" cm="1" t="str">
        <f t="array" ref="P191">IF(C191="","",IF(OR(O191="",O191=0),"-",O191))</f>
        <v/>
      </c>
      <c r="Q191" s="20">
</c>
      <c r="R191" s="9" cm="1" t="str">
        <f t="array" ref="R191">IF(C191="","",ROUND(Q191/1000000,3)&amp;" M€")</f>
        <v/>
      </c>
      <c r="S191" s="21">
</c>
      <c r="T191" s="9" cm="1" t="str">
        <f t="array" ref="T191">IF(C191="","",SUBSTITUTE(S191,"","")&amp;"%")</f>
        <v/>
      </c>
      <c r="U191" s="12" cm="1" t="str">
        <f t="array" ref="U191">IF(($N191="")*($P191=""),"",IF(($N191&lt;&gt;"")*($N191&gt;TODAY()-9)*($N191&lt;TODAY()+1)*($P191&lt;&gt;"")*($P191&gt;=TODAY())*($P191&lt;=TODAY()+13),"Semaine passée &amp; à venir",IF(($N191&lt;&gt;"")*($N191&gt;TODAY()-9)*($N191&lt;TODAY()+1),"Semaine passée",IF(($P191&lt;&gt;"")*($P191&gt;=TODAY())*($P191&lt;=TODAY()+13),"À venir","Autre"))))</f>
        <v/>
      </c>
      <c r="V191" cm="1" t="n">
        <f t="array" ref="V191">IF(C191&lt;&gt;"",1,0)</f>
        <v>0</v>
      </c>
    </row>
    <row r="192" ht="78.75" customHeight="1">
      <c r="A192" s="17">
</c>
      <c r="B192" s="13">
</c>
      <c r="C192" s="10">
</c>
      <c r="D192" s="18">
</c>
      <c r="E192" s="13">
</c>
      <c r="F192" s="13">
</c>
      <c r="G192" s="12" cm="1" t="str">
        <f t="array" ref="G192">IF(F192="","",SUBSTITUTE(SUBSTITUTE(SUBSTITUTE(SUBSTITUTE(F192,"&lt;li&gt;",CHAR(10)),"&lt;/li&gt;",""),"&lt;br&gt;",CHAR(10)),"&lt;strong&gt;",""))</f>
        <v/>
      </c>
      <c r="H192" s="12" cm="1" t="str">
        <f t="array" ref="H192">IF(G192="","",SUBSTITUTE(SUBSTITUTE(SUBSTITUTE(SUBSTITUTE(SUBSTITUTE(G192,"&lt;p&gt;",""),"&lt;/p&gt;",""),"&lt;ul&gt;",""),"&lt;/ul&gt;",""),"&lt;/strong&gt;",""))</f>
        <v/>
      </c>
      <c r="I192" s="12" cm="1" t="str">
        <f t="array" ref="I192">IF(C192="","",IF(OR(H192="",H192=0,H192=FALSE),"-",H192))</f>
        <v/>
      </c>
      <c r="J192" s="13">
</c>
      <c r="K192" s="13">
</c>
      <c r="L192" s="9" cm="1" t="str">
        <f t="array" ref="L192">IF(C192="","",IF(K192="Mort / Plus rien à faire","KO","OK"))</f>
        <v/>
      </c>
      <c r="M192" s="19">
</c>
      <c r="N192" s="14" cm="1" t="str">
        <f t="array" ref="N192">IF(OR(C192="",M192="",M192=0),"",M192)</f>
        <v/>
      </c>
      <c r="O192" s="19">
</c>
      <c r="P192" s="14" cm="1" t="str">
        <f t="array" ref="P192">IF(C192="","",IF(OR(O192="",O192=0),"-",O192))</f>
        <v/>
      </c>
      <c r="Q192" s="20">
</c>
      <c r="R192" s="9" cm="1" t="str">
        <f t="array" ref="R192">IF(C192="","",ROUND(Q192/1000000,3)&amp;" M€")</f>
        <v/>
      </c>
      <c r="S192" s="21">
</c>
      <c r="T192" s="9" cm="1" t="str">
        <f t="array" ref="T192">IF(C192="","",SUBSTITUTE(S192,"","")&amp;"%")</f>
        <v/>
      </c>
      <c r="U192" s="12" cm="1" t="str">
        <f t="array" ref="U192">IF(($N192="")*($P192=""),"",IF(($N192&lt;&gt;"")*($N192&gt;TODAY()-9)*($N192&lt;TODAY()+1)*($P192&lt;&gt;"")*($P192&gt;=TODAY())*($P192&lt;=TODAY()+13),"Semaine passée &amp; à venir",IF(($N192&lt;&gt;"")*($N192&gt;TODAY()-9)*($N192&lt;TODAY()+1),"Semaine passée",IF(($P192&lt;&gt;"")*($P192&gt;=TODAY())*($P192&lt;=TODAY()+13),"À venir","Autre"))))</f>
        <v/>
      </c>
      <c r="V192" cm="1" t="n">
        <f t="array" ref="V192">IF(C192&lt;&gt;"",1,0)</f>
        <v>0</v>
      </c>
    </row>
    <row r="193" ht="78.75" customHeight="1">
      <c r="A193" s="17">
</c>
      <c r="B193" s="13">
</c>
      <c r="C193" s="10">
</c>
      <c r="D193" s="18">
</c>
      <c r="E193" s="13">
</c>
      <c r="F193" s="13">
</c>
      <c r="G193" s="12" cm="1" t="str">
        <f t="array" ref="G193">IF(F193="","",SUBSTITUTE(SUBSTITUTE(SUBSTITUTE(SUBSTITUTE(F193,"&lt;li&gt;",CHAR(10)),"&lt;/li&gt;",""),"&lt;br&gt;",CHAR(10)),"&lt;strong&gt;",""))</f>
        <v/>
      </c>
      <c r="H193" s="12" cm="1" t="str">
        <f t="array" ref="H193">IF(G193="","",SUBSTITUTE(SUBSTITUTE(SUBSTITUTE(SUBSTITUTE(SUBSTITUTE(G193,"&lt;p&gt;",""),"&lt;/p&gt;",""),"&lt;ul&gt;",""),"&lt;/ul&gt;",""),"&lt;/strong&gt;",""))</f>
        <v/>
      </c>
      <c r="I193" s="12" cm="1" t="str">
        <f t="array" ref="I193">IF(C193="","",IF(OR(H193="",H193=0,H193=FALSE),"-",H193))</f>
        <v/>
      </c>
      <c r="J193" s="13">
</c>
      <c r="K193" s="13">
</c>
      <c r="L193" s="9" cm="1" t="str">
        <f t="array" ref="L193">IF(C193="","",IF(K193="Mort / Plus rien à faire","KO","OK"))</f>
        <v/>
      </c>
      <c r="M193" s="19">
</c>
      <c r="N193" s="14" cm="1" t="str">
        <f t="array" ref="N193">IF(OR(C193="",M193="",M193=0),"",M193)</f>
        <v/>
      </c>
      <c r="O193" s="19">
</c>
      <c r="P193" s="14" cm="1" t="str">
        <f t="array" ref="P193">IF(C193="","",IF(OR(O193="",O193=0),"-",O193))</f>
        <v/>
      </c>
      <c r="Q193" s="20">
</c>
      <c r="R193" s="9" cm="1" t="str">
        <f t="array" ref="R193">IF(C193="","",ROUND(Q193/1000000,3)&amp;" M€")</f>
        <v/>
      </c>
      <c r="S193" s="21">
</c>
      <c r="T193" s="9" cm="1" t="str">
        <f t="array" ref="T193">IF(C193="","",SUBSTITUTE(S193,"","")&amp;"%")</f>
        <v/>
      </c>
      <c r="U193" s="12" cm="1" t="str">
        <f t="array" ref="U193">IF(($N193="")*($P193=""),"",IF(($N193&lt;&gt;"")*($N193&gt;TODAY()-9)*($N193&lt;TODAY()+1)*($P193&lt;&gt;"")*($P193&gt;=TODAY())*($P193&lt;=TODAY()+13),"Semaine passée &amp; à venir",IF(($N193&lt;&gt;"")*($N193&gt;TODAY()-9)*($N193&lt;TODAY()+1),"Semaine passée",IF(($P193&lt;&gt;"")*($P193&gt;=TODAY())*($P193&lt;=TODAY()+13),"À venir","Autre"))))</f>
        <v/>
      </c>
      <c r="V193" cm="1" t="n">
        <f t="array" ref="V193">IF(C193&lt;&gt;"",1,0)</f>
        <v>0</v>
      </c>
    </row>
    <row r="194" ht="78.75" customHeight="1">
      <c r="A194" s="17">
</c>
      <c r="B194" s="13">
</c>
      <c r="C194" s="10">
</c>
      <c r="D194" s="18">
</c>
      <c r="E194" s="13">
</c>
      <c r="F194" s="13">
</c>
      <c r="G194" s="12" cm="1" t="str">
        <f t="array" ref="G194">IF(F194="","",SUBSTITUTE(SUBSTITUTE(SUBSTITUTE(SUBSTITUTE(F194,"&lt;li&gt;",CHAR(10)),"&lt;/li&gt;",""),"&lt;br&gt;",CHAR(10)),"&lt;strong&gt;",""))</f>
        <v/>
      </c>
      <c r="H194" s="12" cm="1" t="str">
        <f t="array" ref="H194">IF(G194="","",SUBSTITUTE(SUBSTITUTE(SUBSTITUTE(SUBSTITUTE(SUBSTITUTE(G194,"&lt;p&gt;",""),"&lt;/p&gt;",""),"&lt;ul&gt;",""),"&lt;/ul&gt;",""),"&lt;/strong&gt;",""))</f>
        <v/>
      </c>
      <c r="I194" s="12" cm="1" t="str">
        <f t="array" ref="I194">IF(C194="","",IF(OR(H194="",H194=0,H194=FALSE),"-",H194))</f>
        <v/>
      </c>
      <c r="J194" s="13">
</c>
      <c r="K194" s="13">
</c>
      <c r="L194" s="9" cm="1" t="str">
        <f t="array" ref="L194">IF(C194="","",IF(K194="Mort / Plus rien à faire","KO","OK"))</f>
        <v/>
      </c>
      <c r="M194" s="19">
</c>
      <c r="N194" s="14" cm="1" t="str">
        <f t="array" ref="N194">IF(OR(C194="",M194="",M194=0),"",M194)</f>
        <v/>
      </c>
      <c r="O194" s="19">
</c>
      <c r="P194" s="14" cm="1" t="str">
        <f t="array" ref="P194">IF(C194="","",IF(OR(O194="",O194=0),"-",O194))</f>
        <v/>
      </c>
      <c r="Q194" s="20">
</c>
      <c r="R194" s="9" cm="1" t="str">
        <f t="array" ref="R194">IF(C194="","",ROUND(Q194/1000000,3)&amp;" M€")</f>
        <v/>
      </c>
      <c r="S194" s="21">
</c>
      <c r="T194" s="9" cm="1" t="str">
        <f t="array" ref="T194">IF(C194="","",SUBSTITUTE(S194,"","")&amp;"%")</f>
        <v/>
      </c>
      <c r="U194" s="12" cm="1" t="str">
        <f t="array" ref="U194">IF(($N194="")*($P194=""),"",IF(($N194&lt;&gt;"")*($N194&gt;TODAY()-9)*($N194&lt;TODAY()+1)*($P194&lt;&gt;"")*($P194&gt;=TODAY())*($P194&lt;=TODAY()+13),"Semaine passée &amp; à venir",IF(($N194&lt;&gt;"")*($N194&gt;TODAY()-9)*($N194&lt;TODAY()+1),"Semaine passée",IF(($P194&lt;&gt;"")*($P194&gt;=TODAY())*($P194&lt;=TODAY()+13),"À venir","Autre"))))</f>
        <v/>
      </c>
      <c r="V194" cm="1" t="n">
        <f t="array" ref="V194">IF(C194&lt;&gt;"",1,0)</f>
        <v>0</v>
      </c>
    </row>
    <row r="195" ht="78.75" customHeight="1">
      <c r="A195" s="17">
</c>
      <c r="B195" s="13">
</c>
      <c r="C195" s="10">
</c>
      <c r="D195" s="18">
</c>
      <c r="E195" s="13">
</c>
      <c r="F195" s="13">
</c>
      <c r="G195" s="12" cm="1" t="str">
        <f t="array" ref="G195">IF(F195="","",SUBSTITUTE(SUBSTITUTE(SUBSTITUTE(SUBSTITUTE(F195,"&lt;li&gt;",CHAR(10)),"&lt;/li&gt;",""),"&lt;br&gt;",CHAR(10)),"&lt;strong&gt;",""))</f>
        <v/>
      </c>
      <c r="H195" s="12" cm="1" t="str">
        <f t="array" ref="H195">IF(G195="","",SUBSTITUTE(SUBSTITUTE(SUBSTITUTE(SUBSTITUTE(SUBSTITUTE(G195,"&lt;p&gt;",""),"&lt;/p&gt;",""),"&lt;ul&gt;",""),"&lt;/ul&gt;",""),"&lt;/strong&gt;",""))</f>
        <v/>
      </c>
      <c r="I195" s="12" cm="1" t="str">
        <f t="array" ref="I195">IF(C195="","",IF(OR(H195="",H195=0,H195=FALSE),"-",H195))</f>
        <v/>
      </c>
      <c r="J195" s="13">
</c>
      <c r="K195" s="13">
</c>
      <c r="L195" s="9" cm="1" t="str">
        <f t="array" ref="L195">IF(C195="","",IF(K195="Mort / Plus rien à faire","KO","OK"))</f>
        <v/>
      </c>
      <c r="M195" s="19">
</c>
      <c r="N195" s="14" cm="1" t="str">
        <f t="array" ref="N195">IF(OR(C195="",M195="",M195=0),"",M195)</f>
        <v/>
      </c>
      <c r="O195" s="19">
</c>
      <c r="P195" s="14" cm="1" t="str">
        <f t="array" ref="P195">IF(C195="","",IF(OR(O195="",O195=0),"-",O195))</f>
        <v/>
      </c>
      <c r="Q195" s="20">
</c>
      <c r="R195" s="9" cm="1" t="str">
        <f t="array" ref="R195">IF(C195="","",ROUND(Q195/1000000,3)&amp;" M€")</f>
        <v/>
      </c>
      <c r="S195" s="21">
</c>
      <c r="T195" s="9" cm="1" t="str">
        <f t="array" ref="T195">IF(C195="","",SUBSTITUTE(S195,"","")&amp;"%")</f>
        <v/>
      </c>
      <c r="U195" s="12" cm="1" t="str">
        <f t="array" ref="U195">IF(($N195="")*($P195=""),"",IF(($N195&lt;&gt;"")*($N195&gt;TODAY()-9)*($N195&lt;TODAY()+1)*($P195&lt;&gt;"")*($P195&gt;=TODAY())*($P195&lt;=TODAY()+13),"Semaine passée &amp; à venir",IF(($N195&lt;&gt;"")*($N195&gt;TODAY()-9)*($N195&lt;TODAY()+1),"Semaine passée",IF(($P195&lt;&gt;"")*($P195&gt;=TODAY())*($P195&lt;=TODAY()+13),"À venir","Autre"))))</f>
        <v/>
      </c>
      <c r="V195" cm="1" t="n">
        <f t="array" ref="V195">IF(C195&lt;&gt;"",1,0)</f>
        <v>0</v>
      </c>
    </row>
    <row r="196" ht="78.75" customHeight="1">
      <c r="A196" s="17">
</c>
      <c r="B196" s="13">
</c>
      <c r="C196" s="10">
</c>
      <c r="D196" s="18">
</c>
      <c r="E196" s="13">
</c>
      <c r="F196" s="13">
</c>
      <c r="G196" s="12" cm="1" t="str">
        <f t="array" ref="G196">IF(F196="","",SUBSTITUTE(SUBSTITUTE(SUBSTITUTE(SUBSTITUTE(F196,"&lt;li&gt;",CHAR(10)),"&lt;/li&gt;",""),"&lt;br&gt;",CHAR(10)),"&lt;strong&gt;",""))</f>
        <v/>
      </c>
      <c r="H196" s="12" cm="1" t="str">
        <f t="array" ref="H196">IF(G196="","",SUBSTITUTE(SUBSTITUTE(SUBSTITUTE(SUBSTITUTE(SUBSTITUTE(G196,"&lt;p&gt;",""),"&lt;/p&gt;",""),"&lt;ul&gt;",""),"&lt;/ul&gt;",""),"&lt;/strong&gt;",""))</f>
        <v/>
      </c>
      <c r="I196" s="12" cm="1" t="str">
        <f t="array" ref="I196">IF(C196="","",IF(OR(H196="",H196=0,H196=FALSE),"-",H196))</f>
        <v/>
      </c>
      <c r="J196" s="13">
</c>
      <c r="K196" s="13">
</c>
      <c r="L196" s="9" cm="1" t="str">
        <f t="array" ref="L196">IF(C196="","",IF(K196="Mort / Plus rien à faire","KO","OK"))</f>
        <v/>
      </c>
      <c r="M196" s="19">
</c>
      <c r="N196" s="14" cm="1" t="str">
        <f t="array" ref="N196">IF(OR(C196="",M196="",M196=0),"",M196)</f>
        <v/>
      </c>
      <c r="O196" s="19">
</c>
      <c r="P196" s="14" cm="1" t="str">
        <f t="array" ref="P196">IF(C196="","",IF(OR(O196="",O196=0),"-",O196))</f>
        <v/>
      </c>
      <c r="Q196" s="20">
</c>
      <c r="R196" s="9" cm="1" t="str">
        <f t="array" ref="R196">IF(C196="","",ROUND(Q196/1000000,3)&amp;" M€")</f>
        <v/>
      </c>
      <c r="S196" s="21">
</c>
      <c r="T196" s="9" cm="1" t="str">
        <f t="array" ref="T196">IF(C196="","",SUBSTITUTE(S196,"","")&amp;"%")</f>
        <v/>
      </c>
      <c r="U196" s="12" cm="1" t="str">
        <f t="array" ref="U196">IF(($N196="")*($P196=""),"",IF(($N196&lt;&gt;"")*($N196&gt;TODAY()-9)*($N196&lt;TODAY()+1)*($P196&lt;&gt;"")*($P196&gt;=TODAY())*($P196&lt;=TODAY()+13),"Semaine passée &amp; à venir",IF(($N196&lt;&gt;"")*($N196&gt;TODAY()-9)*($N196&lt;TODAY()+1),"Semaine passée",IF(($P196&lt;&gt;"")*($P196&gt;=TODAY())*($P196&lt;=TODAY()+13),"À venir","Autre"))))</f>
        <v/>
      </c>
      <c r="V196" cm="1" t="n">
        <f t="array" ref="V196">IF(C196&lt;&gt;"",1,0)</f>
        <v>0</v>
      </c>
    </row>
    <row r="197" ht="78.75" customHeight="1">
      <c r="A197" s="17">
</c>
      <c r="B197" s="13">
</c>
      <c r="C197" s="10">
</c>
      <c r="D197" s="18">
</c>
      <c r="E197" s="13">
</c>
      <c r="F197" s="13">
</c>
      <c r="G197" s="12" cm="1" t="str">
        <f t="array" ref="G197">IF(F197="","",SUBSTITUTE(SUBSTITUTE(SUBSTITUTE(SUBSTITUTE(F197,"&lt;li&gt;",CHAR(10)),"&lt;/li&gt;",""),"&lt;br&gt;",CHAR(10)),"&lt;strong&gt;",""))</f>
        <v/>
      </c>
      <c r="H197" s="12" cm="1" t="str">
        <f t="array" ref="H197">IF(G197="","",SUBSTITUTE(SUBSTITUTE(SUBSTITUTE(SUBSTITUTE(SUBSTITUTE(G197,"&lt;p&gt;",""),"&lt;/p&gt;",""),"&lt;ul&gt;",""),"&lt;/ul&gt;",""),"&lt;/strong&gt;",""))</f>
        <v/>
      </c>
      <c r="I197" s="12" cm="1" t="str">
        <f t="array" ref="I197">IF(C197="","",IF(OR(H197="",H197=0,H197=FALSE),"-",H197))</f>
        <v/>
      </c>
      <c r="J197" s="13">
</c>
      <c r="K197" s="13">
</c>
      <c r="L197" s="9" cm="1" t="str">
        <f t="array" ref="L197">IF(C197="","",IF(K197="Mort / Plus rien à faire","KO","OK"))</f>
        <v/>
      </c>
      <c r="M197" s="19">
</c>
      <c r="N197" s="14" cm="1" t="str">
        <f t="array" ref="N197">IF(OR(C197="",M197="",M197=0),"",M197)</f>
        <v/>
      </c>
      <c r="O197" s="19">
</c>
      <c r="P197" s="14" cm="1" t="str">
        <f t="array" ref="P197">IF(C197="","",IF(OR(O197="",O197=0),"-",O197))</f>
        <v/>
      </c>
      <c r="Q197" s="20">
</c>
      <c r="R197" s="9" cm="1" t="str">
        <f t="array" ref="R197">IF(C197="","",ROUND(Q197/1000000,3)&amp;" M€")</f>
        <v/>
      </c>
      <c r="S197" s="21">
</c>
      <c r="T197" s="9" cm="1" t="str">
        <f t="array" ref="T197">IF(C197="","",SUBSTITUTE(S197,"","")&amp;"%")</f>
        <v/>
      </c>
      <c r="U197" s="12" cm="1" t="str">
        <f t="array" ref="U197">IF(($N197="")*($P197=""),"",IF(($N197&lt;&gt;"")*($N197&gt;TODAY()-9)*($N197&lt;TODAY()+1)*($P197&lt;&gt;"")*($P197&gt;=TODAY())*($P197&lt;=TODAY()+13),"Semaine passée &amp; à venir",IF(($N197&lt;&gt;"")*($N197&gt;TODAY()-9)*($N197&lt;TODAY()+1),"Semaine passée",IF(($P197&lt;&gt;"")*($P197&gt;=TODAY())*($P197&lt;=TODAY()+13),"À venir","Autre"))))</f>
        <v/>
      </c>
      <c r="V197" cm="1" t="n">
        <f t="array" ref="V197">IF(C197&lt;&gt;"",1,0)</f>
        <v>0</v>
      </c>
    </row>
    <row r="198" ht="78.75" customHeight="1">
      <c r="A198" s="17">
</c>
      <c r="B198" s="13">
</c>
      <c r="C198" s="10">
</c>
      <c r="D198" s="18">
</c>
      <c r="E198" s="13">
</c>
      <c r="F198" s="13">
</c>
      <c r="G198" s="12" cm="1" t="str">
        <f t="array" ref="G198">IF(F198="","",SUBSTITUTE(SUBSTITUTE(SUBSTITUTE(SUBSTITUTE(F198,"&lt;li&gt;",CHAR(10)),"&lt;/li&gt;",""),"&lt;br&gt;",CHAR(10)),"&lt;strong&gt;",""))</f>
        <v/>
      </c>
      <c r="H198" s="12" cm="1" t="str">
        <f t="array" ref="H198">IF(G198="","",SUBSTITUTE(SUBSTITUTE(SUBSTITUTE(SUBSTITUTE(SUBSTITUTE(G198,"&lt;p&gt;",""),"&lt;/p&gt;",""),"&lt;ul&gt;",""),"&lt;/ul&gt;",""),"&lt;/strong&gt;",""))</f>
        <v/>
      </c>
      <c r="I198" s="12" cm="1" t="str">
        <f t="array" ref="I198">IF(C198="","",IF(OR(H198="",H198=0,H198=FALSE),"-",H198))</f>
        <v/>
      </c>
      <c r="J198" s="13">
</c>
      <c r="K198" s="13">
</c>
      <c r="L198" s="9" cm="1" t="str">
        <f t="array" ref="L198">IF(C198="","",IF(K198="Mort / Plus rien à faire","KO","OK"))</f>
        <v/>
      </c>
      <c r="M198" s="19">
</c>
      <c r="N198" s="14" cm="1" t="str">
        <f t="array" ref="N198">IF(OR(C198="",M198="",M198=0),"",M198)</f>
        <v/>
      </c>
      <c r="O198" s="19">
</c>
      <c r="P198" s="14" cm="1" t="str">
        <f t="array" ref="P198">IF(C198="","",IF(OR(O198="",O198=0),"-",O198))</f>
        <v/>
      </c>
      <c r="Q198" s="20">
</c>
      <c r="R198" s="9" cm="1" t="str">
        <f t="array" ref="R198">IF(C198="","",ROUND(Q198/1000000,3)&amp;" M€")</f>
        <v/>
      </c>
      <c r="S198" s="21">
</c>
      <c r="T198" s="9" cm="1" t="str">
        <f t="array" ref="T198">IF(C198="","",SUBSTITUTE(S198,"","")&amp;"%")</f>
        <v/>
      </c>
      <c r="U198" s="12" cm="1" t="str">
        <f t="array" ref="U198">IF(($N198="")*($P198=""),"",IF(($N198&lt;&gt;"")*($N198&gt;TODAY()-9)*($N198&lt;TODAY()+1)*($P198&lt;&gt;"")*($P198&gt;=TODAY())*($P198&lt;=TODAY()+13),"Semaine passée &amp; à venir",IF(($N198&lt;&gt;"")*($N198&gt;TODAY()-9)*($N198&lt;TODAY()+1),"Semaine passée",IF(($P198&lt;&gt;"")*($P198&gt;=TODAY())*($P198&lt;=TODAY()+13),"À venir","Autre"))))</f>
        <v/>
      </c>
      <c r="V198" cm="1" t="n">
        <f t="array" ref="V198">IF(C198&lt;&gt;"",1,0)</f>
        <v>0</v>
      </c>
    </row>
    <row r="199" ht="78.75" customHeight="1">
      <c r="A199" s="17">
</c>
      <c r="B199" s="13">
</c>
      <c r="C199" s="10">
</c>
      <c r="D199" s="18">
</c>
      <c r="E199" s="13">
</c>
      <c r="F199" s="13">
</c>
      <c r="G199" s="12" cm="1" t="str">
        <f t="array" ref="G199">IF(F199="","",SUBSTITUTE(SUBSTITUTE(SUBSTITUTE(SUBSTITUTE(F199,"&lt;li&gt;",CHAR(10)),"&lt;/li&gt;",""),"&lt;br&gt;",CHAR(10)),"&lt;strong&gt;",""))</f>
        <v/>
      </c>
      <c r="H199" s="12" cm="1" t="str">
        <f t="array" ref="H199">IF(G199="","",SUBSTITUTE(SUBSTITUTE(SUBSTITUTE(SUBSTITUTE(SUBSTITUTE(G199,"&lt;p&gt;",""),"&lt;/p&gt;",""),"&lt;ul&gt;",""),"&lt;/ul&gt;",""),"&lt;/strong&gt;",""))</f>
        <v/>
      </c>
      <c r="I199" s="12" cm="1" t="str">
        <f t="array" ref="I199">IF(C199="","",IF(OR(H199="",H199=0,H199=FALSE),"-",H199))</f>
        <v/>
      </c>
      <c r="J199" s="13">
</c>
      <c r="K199" s="13">
</c>
      <c r="L199" s="9" cm="1" t="str">
        <f t="array" ref="L199">IF(C199="","",IF(K199="Mort / Plus rien à faire","KO","OK"))</f>
        <v/>
      </c>
      <c r="M199" s="19">
</c>
      <c r="N199" s="14" cm="1" t="str">
        <f t="array" ref="N199">IF(OR(C199="",M199="",M199=0),"",M199)</f>
        <v/>
      </c>
      <c r="O199" s="19">
</c>
      <c r="P199" s="14" cm="1" t="str">
        <f t="array" ref="P199">IF(C199="","",IF(OR(O199="",O199=0),"-",O199))</f>
        <v/>
      </c>
      <c r="Q199" s="20">
</c>
      <c r="R199" s="9" cm="1" t="str">
        <f t="array" ref="R199">IF(C199="","",ROUND(Q199/1000000,3)&amp;" M€")</f>
        <v/>
      </c>
      <c r="S199" s="21">
</c>
      <c r="T199" s="9" cm="1" t="str">
        <f t="array" ref="T199">IF(C199="","",SUBSTITUTE(S199,"","")&amp;"%")</f>
        <v/>
      </c>
      <c r="U199" s="12" cm="1" t="str">
        <f t="array" ref="U199">IF(($N199="")*($P199=""),"",IF(($N199&lt;&gt;"")*($N199&gt;TODAY()-9)*($N199&lt;TODAY()+1)*($P199&lt;&gt;"")*($P199&gt;=TODAY())*($P199&lt;=TODAY()+13),"Semaine passée &amp; à venir",IF(($N199&lt;&gt;"")*($N199&gt;TODAY()-9)*($N199&lt;TODAY()+1),"Semaine passée",IF(($P199&lt;&gt;"")*($P199&gt;=TODAY())*($P199&lt;=TODAY()+13),"À venir","Autre"))))</f>
        <v/>
      </c>
      <c r="V199" cm="1" t="n">
        <f t="array" ref="V199">IF(C199&lt;&gt;"",1,0)</f>
        <v>0</v>
      </c>
    </row>
    <row r="200" ht="78.75" customHeight="1">
      <c r="A200" s="17">
</c>
      <c r="B200" s="13">
</c>
      <c r="C200" s="10">
</c>
      <c r="D200" s="18">
</c>
      <c r="E200" s="13">
</c>
      <c r="F200" s="13">
</c>
      <c r="G200" s="12" cm="1" t="str">
        <f t="array" ref="G200">IF(F200="","",SUBSTITUTE(SUBSTITUTE(SUBSTITUTE(SUBSTITUTE(F200,"&lt;li&gt;",CHAR(10)),"&lt;/li&gt;",""),"&lt;br&gt;",CHAR(10)),"&lt;strong&gt;",""))</f>
        <v/>
      </c>
      <c r="H200" s="12" cm="1" t="str">
        <f t="array" ref="H200">IF(G200="","",SUBSTITUTE(SUBSTITUTE(SUBSTITUTE(SUBSTITUTE(SUBSTITUTE(G200,"&lt;p&gt;",""),"&lt;/p&gt;",""),"&lt;ul&gt;",""),"&lt;/ul&gt;",""),"&lt;/strong&gt;",""))</f>
        <v/>
      </c>
      <c r="I200" s="12" cm="1" t="str">
        <f t="array" ref="I200">IF(C200="","",IF(OR(H200="",H200=0,H200=FALSE),"-",H200))</f>
        <v/>
      </c>
      <c r="J200" s="13">
</c>
      <c r="K200" s="13">
</c>
      <c r="L200" s="9" cm="1" t="str">
        <f t="array" ref="L200">IF(C200="","",IF(K200="Mort / Plus rien à faire","KO","OK"))</f>
        <v/>
      </c>
      <c r="M200" s="19">
</c>
      <c r="N200" s="14" cm="1" t="str">
        <f t="array" ref="N200">IF(OR(C200="",M200="",M200=0),"",M200)</f>
        <v/>
      </c>
      <c r="O200" s="19">
</c>
      <c r="P200" s="14" cm="1" t="str">
        <f t="array" ref="P200">IF(C200="","",IF(OR(O200="",O200=0),"-",O200))</f>
        <v/>
      </c>
      <c r="Q200" s="20">
</c>
      <c r="R200" s="9" cm="1" t="str">
        <f t="array" ref="R200">IF(C200="","",ROUND(Q200/1000000,3)&amp;" M€")</f>
        <v/>
      </c>
      <c r="S200" s="21">
</c>
      <c r="T200" s="9" cm="1" t="str">
        <f t="array" ref="T200">IF(C200="","",SUBSTITUTE(S200,"","")&amp;"%")</f>
        <v/>
      </c>
      <c r="U200" s="12" cm="1" t="str">
        <f t="array" ref="U200">IF(($N200="")*($P200=""),"",IF(($N200&lt;&gt;"")*($N200&gt;TODAY()-9)*($N200&lt;TODAY()+1)*($P200&lt;&gt;"")*($P200&gt;=TODAY())*($P200&lt;=TODAY()+13),"Semaine passée &amp; à venir",IF(($N200&lt;&gt;"")*($N200&gt;TODAY()-9)*($N200&lt;TODAY()+1),"Semaine passée",IF(($P200&lt;&gt;"")*($P200&gt;=TODAY())*($P200&lt;=TODAY()+13),"À venir","Autre"))))</f>
        <v/>
      </c>
      <c r="V200" cm="1" t="n">
        <f t="array" ref="V200">IF(C200&lt;&gt;"",1,0)</f>
        <v>0</v>
      </c>
    </row>
    <row r="201" ht="78.75" customHeight="1">
      <c r="A201" s="17">
</c>
      <c r="B201" s="13">
</c>
      <c r="C201" s="10">
</c>
      <c r="D201" s="18">
</c>
      <c r="E201" s="13">
</c>
      <c r="F201" s="13">
</c>
      <c r="G201" s="12" cm="1" t="str">
        <f t="array" ref="G201">IF(F201="","",SUBSTITUTE(SUBSTITUTE(SUBSTITUTE(SUBSTITUTE(F201,"&lt;li&gt;",CHAR(10)),"&lt;/li&gt;",""),"&lt;br&gt;",CHAR(10)),"&lt;strong&gt;",""))</f>
        <v/>
      </c>
      <c r="H201" s="12" cm="1" t="str">
        <f t="array" ref="H201">IF(G201="","",SUBSTITUTE(SUBSTITUTE(SUBSTITUTE(SUBSTITUTE(SUBSTITUTE(G201,"&lt;p&gt;",""),"&lt;/p&gt;",""),"&lt;ul&gt;",""),"&lt;/ul&gt;",""),"&lt;/strong&gt;",""))</f>
        <v/>
      </c>
      <c r="I201" s="12" cm="1" t="str">
        <f t="array" ref="I201">IF(C201="","",IF(OR(H201="",H201=0,H201=FALSE),"-",H201))</f>
        <v/>
      </c>
      <c r="J201" s="13">
</c>
      <c r="K201" s="13">
</c>
      <c r="L201" s="9" cm="1" t="str">
        <f t="array" ref="L201">IF(C201="","",IF(K201="Mort / Plus rien à faire","KO","OK"))</f>
        <v/>
      </c>
      <c r="M201" s="19">
</c>
      <c r="N201" s="14" cm="1" t="str">
        <f t="array" ref="N201">IF(OR(C201="",M201="",M201=0),"",M201)</f>
        <v/>
      </c>
      <c r="O201" s="19">
</c>
      <c r="P201" s="14" cm="1" t="str">
        <f t="array" ref="P201">IF(C201="","",IF(OR(O201="",O201=0),"-",O201))</f>
        <v/>
      </c>
      <c r="Q201" s="20">
</c>
      <c r="R201" s="9" cm="1" t="str">
        <f t="array" ref="R201">IF(C201="","",ROUND(Q201/1000000,3)&amp;" M€")</f>
        <v/>
      </c>
      <c r="S201" s="21">
</c>
      <c r="T201" s="9" cm="1" t="str">
        <f t="array" ref="T201">IF(C201="","",SUBSTITUTE(S201,"","")&amp;"%")</f>
        <v/>
      </c>
      <c r="U201" s="12" cm="1" t="str">
        <f t="array" ref="U201">IF(($N201="")*($P201=""),"",IF(($N201&lt;&gt;"")*($N201&gt;TODAY()-9)*($N201&lt;TODAY()+1)*($P201&lt;&gt;"")*($P201&gt;=TODAY())*($P201&lt;=TODAY()+13),"Semaine passée &amp; à venir",IF(($N201&lt;&gt;"")*($N201&gt;TODAY()-9)*($N201&lt;TODAY()+1),"Semaine passée",IF(($P201&lt;&gt;"")*($P201&gt;=TODAY())*($P201&lt;=TODAY()+13),"À venir","Autre"))))</f>
        <v/>
      </c>
      <c r="V201" cm="1" t="n">
        <f t="array" ref="V201">IF(C201&lt;&gt;"",1,0)</f>
        <v>0</v>
      </c>
    </row>
    <row r="202" ht="78.75" customHeight="1">
      <c r="A202" s="17">
</c>
      <c r="B202" s="13">
</c>
      <c r="C202" s="10">
</c>
      <c r="D202" s="18">
</c>
      <c r="E202" s="13">
</c>
      <c r="F202" s="13">
</c>
      <c r="G202" s="12" cm="1" t="str">
        <f t="array" ref="G202">IF(F202="","",SUBSTITUTE(SUBSTITUTE(SUBSTITUTE(SUBSTITUTE(F202,"&lt;li&gt;",CHAR(10)),"&lt;/li&gt;",""),"&lt;br&gt;",CHAR(10)),"&lt;strong&gt;",""))</f>
        <v/>
      </c>
      <c r="H202" s="12" cm="1" t="str">
        <f t="array" ref="H202">IF(G202="","",SUBSTITUTE(SUBSTITUTE(SUBSTITUTE(SUBSTITUTE(SUBSTITUTE(G202,"&lt;p&gt;",""),"&lt;/p&gt;",""),"&lt;ul&gt;",""),"&lt;/ul&gt;",""),"&lt;/strong&gt;",""))</f>
        <v/>
      </c>
      <c r="I202" s="12" cm="1" t="str">
        <f t="array" ref="I202">IF(C202="","",IF(OR(H202="",H202=0,H202=FALSE),"-",H202))</f>
        <v/>
      </c>
      <c r="J202" s="13">
</c>
      <c r="K202" s="13">
</c>
      <c r="L202" s="9" cm="1" t="str">
        <f t="array" ref="L202">IF(C202="","",IF(K202="Mort / Plus rien à faire","KO","OK"))</f>
        <v/>
      </c>
      <c r="M202" s="19">
</c>
      <c r="N202" s="14" cm="1" t="str">
        <f t="array" ref="N202">IF(OR(C202="",M202="",M202=0),"",M202)</f>
        <v/>
      </c>
      <c r="O202" s="19">
</c>
      <c r="P202" s="14" cm="1" t="str">
        <f t="array" ref="P202">IF(C202="","",IF(OR(O202="",O202=0),"-",O202))</f>
        <v/>
      </c>
      <c r="Q202" s="20">
</c>
      <c r="R202" s="9" cm="1" t="str">
        <f t="array" ref="R202">IF(C202="","",ROUND(Q202/1000000,3)&amp;" M€")</f>
        <v/>
      </c>
      <c r="S202" s="21">
</c>
      <c r="T202" s="9" cm="1" t="str">
        <f t="array" ref="T202">IF(C202="","",SUBSTITUTE(S202,"","")&amp;"%")</f>
        <v/>
      </c>
      <c r="U202" s="12" cm="1" t="str">
        <f t="array" ref="U202">IF(($N202="")*($P202=""),"",IF(($N202&lt;&gt;"")*($N202&gt;TODAY()-9)*($N202&lt;TODAY()+1)*($P202&lt;&gt;"")*($P202&gt;=TODAY())*($P202&lt;=TODAY()+13),"Semaine passée &amp; à venir",IF(($N202&lt;&gt;"")*($N202&gt;TODAY()-9)*($N202&lt;TODAY()+1),"Semaine passée",IF(($P202&lt;&gt;"")*($P202&gt;=TODAY())*($P202&lt;=TODAY()+13),"À venir","Autre"))))</f>
        <v/>
      </c>
      <c r="V202" cm="1" t="n">
        <f t="array" ref="V202">IF(C202&lt;&gt;"",1,0)</f>
        <v>0</v>
      </c>
    </row>
  </sheetData>
  <conditionalFormatting sqref="N4:N202">
    <cfRule priority="1" stopIfTrue="0" type="expression" dxfId="0">
      <formula>($N4&lt;&gt;"")*(($N4&gt;TODAY()-9)*($N4&lt;TODAY()+1)+(INT($N4)=TODAY()))
</formula>
    </cfRule>
  </conditionalFormatting>
  <conditionalFormatting sqref="P4:P202">
    <cfRule priority="1" stopIfTrue="0" type="expression" dxfId="1">
      <formula>($P4&lt;&gt;"")*($P4&gt;=TODAY())*($P4&lt;=TODAY()+13)</formula>
    </cfRule>
  </conditionalFormatting>
  <conditionalFormatting sqref="I4:I202">
    <cfRule priority="1" stopIfTrue="0" type="expression" dxfId="0">
      <formula>(($N4&lt;&gt;"")*($N4&gt;TODAY()-9)*($N4&lt;=TODAY())) + (($P4&lt;&gt;"")*($P4&gt;=TODAY())*($P4&lt;=TODAY()+13))</formula>
    </cfRule>
  </conditionalFormatting>
  <conditionalFormatting sqref="U4:U202">
    <cfRule priority="1" stopIfTrue="0" type="containsText" text="Semaine passée &amp; à venir" operator="containsText" dxfId="0">
      <formula>NOT(ISERROR(SEARCH("Semaine passée &amp; à venir",U4)))</formula>
    </cfRule>
  </conditionalFormatting>
  <conditionalFormatting sqref="U4:U202">
    <cfRule priority="1" stopIfTrue="0" type="containsText" text="À venir" operator="containsText" dxfId="0">
      <formula>NOT(ISERROR(SEARCH("À venir",U4)))</formula>
    </cfRule>
  </conditionalFormatting>
  <conditionalFormatting sqref="U4:U202">
    <cfRule priority="1" stopIfTrue="0" type="containsText" text="Semaine passée" operator="containsText" dxfId="0">
      <formula>NOT(ISERROR(SEARCH("Semaine passée",U4)))</formula>
    </cfRule>
  </conditionalFormatting>
  <tableParts count="1">
    <tablePart r:id="rId1"/>
  </tableParts>
</worksheet>
</file>