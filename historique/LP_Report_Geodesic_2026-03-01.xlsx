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<sst xmlns="http://schemas.openxmlformats.org/spreadsheetml/2006/main" count="218" uniqueCount="218">
  <si>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</si>
  <si>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</si>
  <si>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</si>
  <si>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</si>
  <si>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</si>
  <si>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</si>
  <si>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</si>
  <si>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</si>
  <si>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</si>
  <si>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</si>
  <si>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</si>
  <si>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</si>
  <si>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</si>
  <si>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</si>
  <si>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</si>
  <si>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</si>
  <si>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</si>
  <si>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</si>
  <si>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</si>
  <si>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</si>
  <si>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</si>
  <si>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</si>
  <si>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</si>
  <si>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DEEPTECH - Geodesic-Expansion</t>
  </si>
  <si>
    <t>HNWI</t>
  </si>
  <si>
    <t>Bruno Froideval</t>
  </si>
  <si>
    <t>Edouard Gaurier</t>
  </si>
  <si>
    <t>&lt;p&gt;Piste créée pour équipe Ventes, tentative d'enrichissement échouée (email invalide), aucune activité ou échange significatif enregistré depuis. Opportunité finalisée en octobre 2025, pas d'action ou de suivi récent, aucune prochaine étape identifiée à ce jour.&lt;/p&gt;</t>
  </si>
  <si>
    <t>Souscription réalisée</t>
  </si>
  <si>
    <t>Pierre Vangeon</t>
  </si>
  <si>
    <t>&lt;p&gt;Nouvelle piste créée pour équipe Ventes le 03/02/2026. Tentative d'enrichissement lead échouée (email invalide). Aucun échange ou action ultérieure enregistrée. Mention d'une finalisation en octobre 2025, sans détail. Pas d'activité récente ni prochaine étape identifiée.&lt;/p&gt;</t>
  </si>
  <si>
    <t>Multi Family Office</t>
  </si>
  <si>
    <t>SAPIANS</t>
  </si>
  <si>
    <t>Etienne de Saint-germain</t>
  </si>
  <si>
    <t>&lt;p&gt;Nouvelle piste créée équipe Ventes. Ticket potentiel évoqué courant février, montant estimé 375k. Tentative d'enrichissement lead échouée (email invalide). Aucune activité ou échange supplémentaire enregistré, prochaines étapes non précisées à ce stade.&lt;/p&gt;</t>
  </si>
  <si>
    <t>&lt;p&gt;Piste créée pour équipe Ventes. Tentative d'enrichissement échouée (email invalide). Action principale : finalisation en février 2026. Pas d'autres activités, appels ou suivis enregistrés. Aucune prochaine étape identifiée à ce jour.&lt;/p&gt;</t>
  </si>
  <si>
    <t>Patrick Roser</t>
  </si>
  <si>
    <t>&lt;p&gt;Nouvelle piste créée pour équipe Ventes le 03/02/2026. Tentative d'enrichissement lead échouée (email non valide). Aucun échange, appel ou activité supplémentaire enregistré depuis la création. Pas de retour prospect ni action planifiée à ce jour.&lt;/p&gt;</t>
  </si>
  <si>
    <t>CGP</t>
  </si>
  <si>
    <t>Wagner Gestion Privée</t>
  </si>
  <si>
    <t>Franck GIRARD</t>
  </si>
  <si>
    <t>&lt;p&gt;03/02/2026: Long échange explicatif, confiance renouvelée, décision de maintenir le ticket dans Géodesic. 28/01/2026: Proposition de call 30 min sur remploi pour deux fonds. Lead créé pour équipe Ventes. Pas d'autres activités ni prochaines actions planifiées à ce jour.&lt;/p&gt;</t>
  </si>
  <si>
    <t>Fabrice de Rohan Chabot</t>
  </si>
  <si>
    <t>&lt;p&gt;Contact CB établi. 28/02/2026 : nouveau 100K engagé dans Géodesic, attente signature BS et virement avant 09/03/2026, date de fin AK privés Géodesic. Suivi en attente, aucune activité complémentaire ni retour prospect sur fonds présentés. Lead créé pour équipe Ventes.&lt;/p&gt;</t>
  </si>
  <si>
    <t>Interêt indicatif - A creuser</t>
  </si>
  <si>
    <t>&lt;p&gt;26/02 call prospect, évoqué possible nouvel investissement 100K Géodesic, prospect ouvert à échange, déjeuner envisagé le 24/03 chez Bourrienne, attente confirmation. Aucun retour prospect sur fonds présentés à ce stade. Prochaine étape : organiser déjeuner, relancer si besoin.&lt;/p&gt;</t>
  </si>
  <si>
    <t>Déjeuner Possible</t>
  </si>
  <si>
    <t>Banque (haut de bilan)</t>
  </si>
  <si>
    <t>CA INDOSUEZ Wealth Management</t>
  </si>
  <si>
    <t>Amaury BALMONT</t>
  </si>
  <si>
    <t>Romain Andrieu</t>
  </si>
  <si>
    <t>&lt;p&gt;Nouvelle piste créée pour équipe Ventes, aucune activité ou échange enregistré depuis la création. Aucun suivi, action ou retour prospect identifié à ce jour. Pas d'information sur contexte de création, ni d'étape suivante prévue. Aucun comité, ni conclusion ou avis prospect recensé.&lt;/p&gt;</t>
  </si>
  <si>
    <t>Déjeuner avec Benoit Bourdin le 7 avril</t>
  </si>
  <si>
    <t>Intérêt à qualifier</t>
  </si>
  <si>
    <t>SYNAPSIS PATRIMOINE</t>
  </si>
  <si>
    <t>Guillaume Duport</t>
  </si>
  <si>
    <t>Pauline Cavalié</t>
  </si>
  <si>
    <t>&lt;p&gt;Aucune activité menée sur le prospect. Guillaume Duport a fondé son cabinet il y a deux ans, vise 7M€/an en PE, clientèle jeune, majoritairement fonds de fonds via Cédrus, Opale, Archinvest. Pas de VC actuellement. Aucun retour ou action récente, ni conclusion prospect sur fonds présentés.&lt;/p&gt;</t>
  </si>
  <si>
    <t>RDV à organiser passage à Toulouse le 24/03</t>
  </si>
  <si>
    <t>Pas encore prêt - A alimenter</t>
  </si>
  <si>
    <t>INHESTIA</t>
  </si>
  <si>
    <t>Benoit COINTE</t>
  </si>
  <si>
    <t>&lt;p&gt;Relance mail envoyée, Benoît prend plus de temps pour audit clients, RDV reporté à mars. RDV à organiser à Toulouse courant mars. Création du MFO en 2025, 6 familles toulousaines, exécution investissements prévue 2026, 3 nouvelles familles pourraient rejoindre. Prochaine étape : fixer RDV.&lt;/p&gt;</t>
  </si>
  <si>
    <t>RDV A TOULOUSE LE 24/03</t>
  </si>
  <si>
    <t>DAYLIGHT CONSEILS</t>
  </si>
  <si>
    <t>Dorian Lagarnaudi</t>
  </si>
  <si>
    <t>&lt;p data-oe-version="2.0"&gt;Déjeuner prévu 12/03&lt;/p&gt;&lt;p&gt;&amp;nbsp;avec Daylight FO (Dorian Lagarnaudie), participants Charles, Olivier, Thomas. Dernier échange 09/02 : nouvelles dates à positionner. Création piste pour équipe Ventes. Enrichissement lead impossible (email invalide). Prochaine étape : fixer RDV.&lt;/p&gt;</t>
  </si>
  <si>
    <t>Déjeuner Bourrienne CB, OPNF, TS avec Daylight FO (M. Dorian Lagarnaudie)</t>
  </si>
  <si>
    <t>Single Family Office</t>
  </si>
  <si>
    <t>Franck Quentin</t>
  </si>
  <si>
    <t>&lt;p&gt;Déj. Bourrienne CB, OPNF, VB avec Vivacto FO (F. Quentin) : intérêt pour Straton et Géodesic, possible 2x500K. Lead créé équipe Ventes. Enrichissement lead impossible (email invalide). Prochaine étape : analyse Straton/Géodesic. Pas d'autres activités ou retours prospect notés.&lt;/p&gt;</t>
  </si>
  <si>
    <t>Saint Jacques Patrimoine</t>
  </si>
  <si>
    <t>Louis Marie Collin</t>
  </si>
  <si>
    <t>&lt;p&gt;03/02/2026: Client intéressé pour 250 K dans le spatial, diversification. Relance info AK en cours. Nouvelle piste créée pour équipe Ventes. Tentative d'enrichissement lead échouée (email invalide). Dernières actions poussées par Owners. Prochaine étape&amp;nbsp;: relance info AK.&lt;/p&gt;</t>
  </si>
  <si>
    <t>EMERAUDE CAPITAL</t>
  </si>
  <si>
    <t>Benjamin Continente</t>
  </si>
  <si>
    <t>&lt;p&gt;Aucune activité ou échange récent enregistré sur EMERAUDE CAPITAL. Groupe détenu partiellement par Abenex (LBO), stratégie de croissance par rachats, 6 acquisitions depuis septembre, 1,3 Md€ sous gestion, ticket moyen 350k, 10-15% PE dans portefeuilles, intérêt potentiel pour 150 OB ter.&lt;/p&gt;</t>
  </si>
  <si>
    <t>Appel Benjamin Continente pour RDV Paris ou Toulouse courant mars</t>
  </si>
  <si>
    <t>Louis Auguste Debouzy</t>
  </si>
  <si>
    <t>&lt;p&gt;Chasse pure 26/02/2026, cible HNWI ayant vendu société d'aide à la personne (20M€). Docs envoyés, prospect envisage 100K pour tester. Appel terminé, attente de retour. Lead créé pour équipe Ventes. Pas d'autres actions ou retours prospect sur fonds à ce jour.&lt;/p&gt;</t>
  </si>
  <si>
    <t>B Durand MFO</t>
  </si>
  <si>
    <t>David Gau</t>
  </si>
  <si>
    <t>&lt;p&gt;04/02 : info actus et ak transmises, clients potentiellement intéressés, attente confirmation. Enrichissement lead impossible (email non valide). Nouvelle piste créée pour équipe Ventes. Pas d'autres actions ou retours prospects à ce stade, prochaine étape : retour client attendu.&lt;/p&gt;</t>
  </si>
  <si>
    <t>Banque privée</t>
  </si>
  <si>
    <t>Picket Wealth</t>
  </si>
  <si>
    <t>Karine Wilkinson</t>
  </si>
  <si>
    <t>&lt;p&gt;05/02/2026 : Infos transmises, clients potentiellement intéressés, attente confirmation pour fixer rencontre avec Charles. Enrichissement lead impossible (email non valide). Nouvelle piste créée équipe Ventes. Prochaine étape : attente retour client pour RDV.&lt;/p&gt;</t>
  </si>
  <si>
    <t>Norman K</t>
  </si>
  <si>
    <t>Brice Monvoisin</t>
  </si>
  <si>
    <t>&lt;p&gt;03/02/2026: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interactions.&lt;/p&gt;</t>
  </si>
  <si>
    <t>Arwen MFO</t>
  </si>
  <si>
    <t>Gwendal Garrigue</t>
  </si>
  <si>
    <t>&lt;p&gt;09/02 point PTF C2 avec Thomas. Lead créé pour équipe Ventes. Tentative d'enrichissement échouée (email invalide). Aucune activité ou action complémentaire enregistrée, prochaines étapes non précisées. Pas de retour prospect ni de conclusion sur fonds présentés.&lt;/p&gt;</t>
  </si>
  <si>
    <t>AXIAN</t>
  </si>
  <si>
    <t>Marc Ramilison</t>
  </si>
  <si>
    <t>&lt;p&gt;RDV 20/02 : Présents Agnes Berri, Marc Ramilison. DPI capital clé, 1M€ investis, exit 20M€ best case, pas d'équalisation ni carried, sortie possible, intérêt pour tech, poursuite analyse Deck/Docs. En attente retour suite envoi documents et réponses questions. Prochaine étape : retour prospect avant 13/03.&lt;/p&gt;</t>
  </si>
  <si>
    <t>GEDOESIC En attente du retour suite au envoi documentaire et réponses aux questions posées</t>
  </si>
  <si>
    <t>Rydge KPMG</t>
  </si>
  <si>
    <t>Edouard Sommade</t>
  </si>
  <si>
    <t>&lt;p&gt;05/02/2026: Intérêt fort confirmé pour stratégies diversification/remploi. Partenariat long envisagé, screening complet d'Audacia avant signature. Accord de partenariat pour fonds remploi, préparation conditions financières/rémunération en cours. Pas d'autres actions récentes ni prochaines étapes identifiées.&lt;/p&gt;</t>
  </si>
  <si>
    <t>Atrio CGP</t>
  </si>
  <si>
    <t>Julien Lemoine</t>
  </si>
  <si>
    <t>&lt;p&gt;04/02 prospect a un client potentiellement intéressé, retour attendu mi-février. Lead enrichissement impossible (email invalide). Nouvelle piste créée pour équipe Ventes. Pas d'autres actions ou retours prospect sur fonds présentés. Prochaine étape : confirmation client mi-février.&lt;/p&gt;</t>
  </si>
  <si>
    <t>Conseil</t>
  </si>
  <si>
    <t>ALL INVEST</t>
  </si>
  <si>
    <t>Ralph Olmost</t>
  </si>
  <si>
    <t>Gros client intéressé sur la deeptech</t>
  </si>
  <si>
    <t>Boursorama Gestion Privée</t>
  </si>
  <si>
    <t>Jean Bay</t>
  </si>
  <si>
    <t>&lt;p&gt;05/02/2026: Prospect intéressé par nos solutions de diversification, peu de dossiers de remploi identifiés. Prochaine étape : trouver des dates avec Charles pour avancer. Enrichissement lead impossible (email invalide). Nouvelle piste créée pour équipe Ventes. Pas d'autres actions notables.&lt;/p&gt;</t>
  </si>
  <si>
    <t>SOFIDY GESTION PRIVEE</t>
  </si>
  <si>
    <t>David Guillemet</t>
  </si>
  <si>
    <t>&lt;p&gt;Demande en 150-0 B ter, rdv tel sur offre actuelle réalisé, prospect doit revenir si intérêt clients. Enrichissement lead impossible (email non valide). Nouvelle piste créée pour équipe Ventes. Prochaine étape : attente retour prospect sur intérêt clients.&lt;/p&gt;</t>
  </si>
  <si>
    <t>Galise MFO</t>
  </si>
  <si>
    <t>Agnès Brulé</t>
  </si>
  <si>
    <t>Dasteria family office Julien Dassault</t>
  </si>
  <si>
    <t>Alexandre Halpern</t>
  </si>
  <si>
    <t>&lt;p&gt;Famille Dassault via Alexandre Hapern étudie fonds spatial, intérêt confirmé. Appel passé, relance prévue pour décision Dasteria. Décision d'investissement 1-3 M€ attendue mi-mars 2026. Prospects en phase d'analyse, attente retour sur possible engagement. Pas d'autres actions récentes.&lt;/p&gt;</t>
  </si>
  <si>
    <t>Echange à prévoir</t>
  </si>
  <si>
    <t>Jean Jacques Augagnieur</t>
  </si>
  <si>
    <t>LEONE KAPITAL</t>
  </si>
  <si>
    <t>Constantin Jahan</t>
  </si>
  <si>
    <t>COME, LE FAMILY OFFICE</t>
  </si>
  <si>
    <t>Julien Codina</t>
  </si>
  <si>
    <t>Société de gestion</t>
  </si>
  <si>
    <t>LMCAPITAL</t>
  </si>
  <si>
    <t>Guillaume LAKAH</t>
  </si>
  <si>
    <t>&lt;p&gt;RDV physique réalisé, prochain RDV prévu le 19/02. Action précédente : mail à envoyer, relance effectuée. Nouvelle piste créée pour équipe Ventes. Pas d'autres activités ou retours prospect mentionnés. Prochain suivi à prévoir après le RDV du 19/02.&lt;/p&gt;</t>
  </si>
  <si>
    <t>FAMILY PARTNERS</t>
  </si>
  <si>
    <t>Stéphane Rogron</t>
  </si>
  <si>
    <t>&lt;p&gt;18/02 : appel, message laissé pour prise de nouvelles et proposition de RDV avec équipe sélection investissement. 12/01 : création piste équipe Ventes. Pas d'autres actions ou retours prospect. Prochaines étapes : attendre retour pour fixer RDV. Pas de conclusion prospect sur fonds à ce stade.&lt;/p&gt;</t>
  </si>
  <si>
    <t>OFFICIUM ASSET MANAGEMENT</t>
  </si>
  <si>
    <t>Pierre Salomero</t>
  </si>
  <si>
    <t>&lt;p&gt;Aucune activité menée sur le prospect. Société de gestion de fortune à Paris, intéressée par infos sur fonds éligibles 150 OB ter : C4 et Géodésic. Nouvelle piste créée pour équipe Ventes, pas d'échanges ou actions récentes enregistrées. Prochaines étapes à définir.&lt;/p&gt;</t>
  </si>
  <si>
    <t>OUTMATCH INVEST</t>
  </si>
  <si>
    <t>Thomas Sanson</t>
  </si>
  <si>
    <t>&lt;p&gt;Piste OUTMATCH INVEST créée équipe Ventes 28/01. Intérêt souverain noté, pas d'autres échanges ou actions menées. Enrichissement lead impossible (email non valide). Aucune activité ni prochaine étape identifiée à ce jour, pas de retour prospect sur fonds présentés.&lt;/p&gt;</t>
  </si>
  <si>
    <t>Societe Generale Private Banking</t>
  </si>
  <si>
    <t>Julie Nadal</t>
  </si>
  <si>
    <t>&lt;p&gt;Projet référencement fonds, passage en comité initialement prévu, reporté à mi-février. Lead créé pour équipe Ventes. Tentative d'enrichissement échouée (email invalide). Prochaine étape&amp;nbsp;: attendre retour du comité mi-février pour décision sur référencement des fonds.&lt;/p&gt;</t>
  </si>
  <si>
    <t>Corporate</t>
  </si>
  <si>
    <t>Safra</t>
  </si>
  <si>
    <t>Hugo Belliard</t>
  </si>
  <si>
    <t>&lt;p&gt;03/02/2026: Point offre remploi. Prévu: petit-déjeuner fonds remploi/deeptech. Tentative d'enrichissement lead échouée (email invalide). Nouvelle piste créée pour équipe Ventes. Prochaine étape: organiser petit-déjeuner thématique. Pas de retour prospect sur fonds à ce stade.&lt;/p&gt;</t>
  </si>
  <si>
    <t>Fiblac</t>
  </si>
  <si>
    <t>Hugo de Gérauvillier</t>
  </si>
  <si>
    <t>&lt;p&gt;Point actu sur fonds deeptech, docs à envoyer pour alimenter. Tentative d'enrichissement lead échouée (email invalide). Nouvelle piste créée pour équipe Ventes. Prochaine étape : envoi de documentation. Pas d'autres actions ou retours prospects mentionnés.&lt;/p&gt;</t>
  </si>
  <si>
    <t>ALPHIDES CONSEIL</t>
  </si>
  <si>
    <t>Fabien Guedes</t>
  </si>
  <si>
    <t>&lt;p&gt;Point fonds deeptech et remploi clients évoqué 28/01. Tentative enrichissement lead échouée (email invalide). Nouvelle piste créée équipe Ventes. Pas d'activité ou d'échange prospect/équipe détecté depuis, ni prochaines étapes identifiées.&lt;/p&gt;</t>
  </si>
  <si>
    <t>MEESCHAERT GESTION PRIVEE</t>
  </si>
  <si>
    <t>Nicolas Andrieu</t>
  </si>
  <si>
    <t>&lt;p&gt;Piste créée équipe Ventes. Enrichissement lead impossible (email invalide). Action prévue&amp;nbsp;: organiser petit déjeuner avec clients. Pas d'autres activités ni retours prospects sur fonds. Prochaine étape&amp;nbsp;: planification petit déjeuner. Aucun passage en comité mentionné.&lt;/p&gt;</t>
  </si>
  <si>
    <t>Bred Banque Privée</t>
  </si>
  <si>
    <t>Caroline Thiebaud</t>
  </si>
  <si>
    <t>&lt;p&gt;Nouvelle piste créée pour équipe Ventes. Discussion reprise sur fonds Audacia, pas d'enrichissement possible (email non valide). Aucune activité ou action complémentaire enregistrée, pas de prochaines étapes identifiées à ce stade.&lt;/p&gt;</t>
  </si>
  <si>
    <t>CHEVAL BLANC PATRIMOINE</t>
  </si>
  <si>
    <t>Nam Delpierre</t>
  </si>
  <si>
    <t>&lt;p&gt;25/02/26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prévue.&lt;/p&gt;</t>
  </si>
  <si>
    <t>My Way MFO</t>
  </si>
  <si>
    <t>Olivier Bontoux</t>
  </si>
  <si>
    <t>&lt;p&gt;Piste créée équipe Ventes. Demande point sur offre remploi Audacia. Tentative enrichissement lead échouée (email invalide). Pas d'autres actions ni retours prospects. Prochaine étape : organiser un point sur l'offre remploi Audacia si souhaité par le prospect.&lt;/p&gt;</t>
  </si>
  <si>
    <t>KL Conseil Notaires</t>
  </si>
  <si>
    <t>Caroline Emerique</t>
  </si>
  <si>
    <t>&lt;p&gt;Présentation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définies.&lt;/p&gt;</t>
  </si>
  <si>
    <t>Cabinet d'avocats</t>
  </si>
  <si>
    <t>ARKWOOD</t>
  </si>
  <si>
    <t>Xavier GUERIN</t>
  </si>
  <si>
    <t>&lt;p&gt;Présentation fonds remploi Audacia, prospect intéressé mais très occupé (études expatriation). Relances téléphoniques et café relance Arkwood Avocats le 25/02. Dernier appel le 06/03, prospect relancé mais toujours indisponible. Prochaine action&amp;nbsp;: prise de news prévue le 18/03.&lt;/p&gt;</t>
  </si>
  <si>
    <t>prise de news</t>
  </si>
  <si>
    <t>RCS SAS Famille Derville</t>
  </si>
  <si>
    <t>Famille Derville</t>
  </si>
  <si>
    <t>&lt;p&gt;Déjeuner prévu 26/03 avec Famille Derville, participants Charles, Olivier. Aucun retour prospect ni décision sur fonds Quantonation II à ce stade. Historique : création piste, enrichissement lead impossible (email invalide). Prochaine étape : RDV physique, suivi post-déjeuner à prévoir.&lt;/p&gt;</t>
  </si>
  <si>
    <t>Déjeuner Bourrienne CB, OPNF, RSC SAS avec la Famille Derville</t>
  </si>
  <si>
    <t>ROTHSCHILD MARTIN MAUREL</t>
  </si>
  <si>
    <t>Florian de Billy</t>
  </si>
  <si>
    <t>&lt;p&gt;RDV physique Lyon 07/02/2026, axe Lyon-Genève développé, prospect souhaite accélérer action directe, référencement fonds jugé trop lent. RDV à caler à Lyon. Dernière relance faite, attente réponse. Prochaine étape : suivre retour prospect, deadline 13/03/2026.&lt;/p&gt;</t>
  </si>
  <si>
    <t>Relance faite / en attente de réposne</t>
  </si>
  <si>
    <t>Hedon Family Office</t>
  </si>
  <si>
    <t>Aynard de Mons</t>
  </si>
  <si>
    <t>&lt;p&gt;Aucune activité ou échange significatif enregistré sur l'opportunité Hedon Family Office. Seule information : nouvelle piste créée pour l'équipe Ventes par Romain Andrieu le 10/02/2026. Aucun suivi, action ou retour prospect identifié à ce jour. Prochaines étapes non définies.&lt;/p&gt;</t>
  </si>
  <si>
    <t>Norman K. Luxembourg SA</t>
  </si>
  <si>
    <t>Nicolas Meyer</t>
  </si>
  <si>
    <t>&lt;p&gt;25/02/2026 : call avec Nicolas Meyer pour organiser rencontre à Paris, cible gros clients HNWI. Nouvelle piste créée équipe Ventes. Enrichissement lead impossible (email invalide). Prochaine étape : rencontre prévue le 15/04/2026. Pas d'autres retours prospects ni conclusions sur fonds à ce stade.&lt;/p&gt;</t>
  </si>
  <si>
    <t>Rencontre</t>
  </si>
  <si>
    <t>Belles Rives CGP</t>
  </si>
  <si>
    <t>Franck Girard</t>
  </si>
  <si>
    <t>&lt;p&gt;Piste créée pour équipe Ventes. Call le 26/02/2026 pour signature convention distribution fonds. En attente KYC distributeur. Enrichissement lead impossible (email non valide). Prochaine étape : réception KYC pour avancer sur la distribution des fonds. Aucune autre activité récente.&lt;/p&gt;</t>
  </si>
  <si>
    <t>CAISSE D'EPARGNE PREVOYANCE COTE D'AZUR</t>
  </si>
  <si>
    <t>Alexandra GOLOVANOW</t>
  </si>
  <si>
    <t>&lt;p&gt;RDV prévu le 16 mars à Bourrienne pour revue d'activités, sujets abordés : geodesic et probablement le quantique. Nouvelle piste créée pour l'équipe Ventes. Prochaine étape : tenir le RDV et approfondir sur les fonds mentionnés. Pas d'autres retours ou conclusions prospect à ce stade.&lt;/p&gt;</t>
  </si>
  <si>
    <t>RDV le16 mars à Bourrienne / revue d'activités</t>
  </si>
  <si>
    <t>JEFFERIES FINANCES EUROPE, S.L.P.</t>
  </si>
  <si>
    <t>Jerome Delahaye</t>
  </si>
  <si>
    <t>&lt;p&gt;Nouvelle piste créée pour équipe Ventes. RDV de préparation pour conférence du 9 avril planifié. Autre action prévue : témoignage Charles et Ted à Londres, objectif levées UK, deadline 29/04. Prochaines étapes : préparer confu 9/04, organiser témoignage Londres, focus levées UK.&lt;/p&gt;</t>
  </si>
  <si>
    <t>EXPANSION RDV de prep de la confu du 9 avril, jefferies &lt;&gt; Convention Spatial LP UK /</t>
  </si>
  <si>
    <t>AMFIE</t>
  </si>
  <si>
    <t>Stephane ARGYROPOULOS</t>
  </si>
  <si>
    <t>&lt;p&gt;Nouvelle piste créée équipe Ventes. Déjeuner prévu le 10 mars à Bourrienne (dossier Cérélia) avec Romain Andrieu. Pas d'autres actions ou retours prospect mentionnés à ce jour. Prochaine étape : déjeuner du 10 mars, suivi à prévoir selon échanges lors de ce rendez-vous.&lt;/p&gt;</t>
  </si>
  <si>
    <t>Déjeuner le 10 mars à Bourrienne (dossier Cérélia)</t>
  </si>
  <si>
    <t>HSBC CONTINENTAL EUROPE</t>
  </si>
  <si>
    <t>John Paul LANHAM</t>
  </si>
  <si>
    <t>Amaury Daignes</t>
  </si>
  <si>
    <t>&lt;p&gt;Echanges initiés entre Audacia et HSBC pour explorer synergies, focus sur fonds fiscalité, immobilier, deeptech. Inclusion équipe Banque Privée HSBC évoquée pour distribution. Prochaine étape&amp;nbsp;: partage d'une proposition ou call Teams à planifier. Attente retour sur faisabilité partenariat.&lt;/p&gt;</t>
  </si>
  <si>
    <t>Echange avec la Banque Privée</t>
  </si>
  <si>
    <t>Troismer</t>
  </si>
  <si>
    <t>Thibaut BUSSCHAERT</t>
  </si>
  <si>
    <t>&lt;p&gt;12/12/25 RDV FO: 70 lignes fonds, 15 Europe, secondaire actif, 16M€, 100% déployé, horizon 3-5 ans, LP lead prudent, GP lead single asset, discussions sur nouveau fonds 1,5M€, Rdv janvier prévu. Prochaine étape : prendre rdv pour update secondary. Pas d'autres actus récentes.&lt;/p&gt;</t>
  </si>
  <si>
    <t>prendre rdv pour un update secondary.</t>
  </si>
  <si>
    <t>Emmanuel de Rohan Chabot</t>
  </si>
  <si>
    <t>&lt;p&gt;Aucune activité menée sur le prospect. Un nouvelle piste a été créée pour l'équipe "Ventes". Pas d'autres échanges, actions ou retours détectés à ce jour. Aucune prochaine étape planifiée ni retour du prospect sur les fonds présentés.&lt;/p&gt;</t>
  </si>
  <si>
    <t>Nouveau rdv en cours de calage</t>
  </si>
  <si>
    <t>PROGRESSYS CAPITAL</t>
  </si>
  <si>
    <t>Stephane Matton</t>
  </si>
  <si>
    <t>&lt;p&gt;Nouvelle piste créée pour équipe Ventes. Aucun échange, activité ou action de suivi enregistrée à ce jour sur ce prospect. Pas d'informations complémentaires, pas de retour ni de prochaine étape identifiée. Suivi à initier.&lt;/p&gt;</t>
  </si>
  <si>
    <t>Opportunité de Arnaud DASSIER</t>
  </si>
  <si>
    <t>Arnaud DASSIER</t>
  </si>
  <si>
    <t>Mort / Plus rien à faire</t>
  </si>
</sst>
</file>

<file path=xl/styles.xml><?xml version="1.0" encoding="utf-8"?>
<styleSheet xmlns="http://schemas.openxmlformats.org/spreadsheetml/2006/main" xmlns:r="http://schemas.openxmlformats.org/officeDocument/2006/relationships">
  <numFmts count="2">
    <numFmt numFmtId="164" formatCode="dd/mm/yyyy"/>
    <numFmt numFmtId="165" formatCode="#,##0[$€]"/>
  </numFmts>
  <fonts count="3">
    <font>
      <sz val="10"/>
      <color rgb="000000"/>
      <name val="Arial"/>
    </font>
    <font>
      <sz val="30"/>
      <color rgb="FFFFFF"/>
      <name val="Arial"/>
    </font>
    <font>
      <sz val="10"/>
      <color rgb="351C75"/>
      <name val="Arial"/>
    </font>
  </fonts>
  <fills count="5">
    <fill>
      <patternFill patternType="none"/>
    </fill>
    <fill>
      <patternFill patternType="gray125"/>
    </fill>
    <fill>
      <patternFill patternType="solid">
        <fgColor rgb="351C75"/>
        <bgColor indexed="64"/>
      </patternFill>
    </fill>
    <fill>
      <patternFill patternType="solid">
        <fgColor rgb="FFFFFF"/>
        <bgColor indexed="64"/>
      </patternFill>
    </fill>
    <fill>
      <patternFill patternType="solid">
        <fgColor rgb="FF9900"/>
        <bgColor indexed="64"/>
      </patternFill>
    </fill>
  </fills>
  <borders count="1">
    <border>
      <left>
        </left>
      <right>
        </right>
      <top>
        </top>
      <bottom>
        </bottom>
      <diagonal>
        </diagonal>
    </border>
  </borders>
  <cellXfs count="17">
    <xf numFmtId="0" fillId="0" fontId="0" borderId="0"/>
    <xf numFmtId="0" fillId="2" fontId="0" borderId="0" applyAlignment="1">
      <alignment vertical="center" horizontal="center"/>
    </xf>
    <xf numFmtId="0" fillId="2" fontId="0" borderId="0" applyAlignment="1">
      <alignment vertical="center" horizontal="center" wrapText="1"/>
    </xf>
    <xf numFmtId="0" fillId="2" fontId="1" borderId="0" applyAlignment="1">
      <alignment vertical="center" wrapText="1"/>
    </xf>
    <xf numFmtId="0" fillId="0" fontId="0" borderId="0" applyAlignment="1">
      <alignment vertical="center" horizontal="center" wrapText="1"/>
    </xf>
    <xf numFmtId="0" fillId="0" fontId="0" borderId="0" applyAlignment="1">
      <alignment vertical="center" horizontal="center"/>
    </xf>
    <xf numFmtId="0" fillId="3" fontId="2" borderId="0" applyAlignment="1">
      <alignment vertical="center" horizontal="center" wrapText="1"/>
    </xf>
    <xf numFmtId="0" fillId="4" fontId="0" borderId="0" applyAlignment="1">
      <alignment vertical="center" horizontal="center" wrapText="1"/>
    </xf>
    <xf numFmtId="49" fillId="0" fontId="0" borderId="0" applyAlignment="1">
      <alignment vertical="center" horizontal="center" wrapText="1"/>
    </xf>
    <xf numFmtId="0" fillId="0" fontId="0" borderId="0" applyAlignment="1">
      <alignment vertical="center" wrapText="1"/>
    </xf>
    <xf numFmtId="164" fillId="0" fontId="0" borderId="0" applyAlignment="1">
      <alignment vertical="center" horizontal="center" wrapText="1"/>
    </xf>
    <xf numFmtId="165" fillId="0" fontId="0" borderId="0" applyAlignment="1">
      <alignment vertical="center" horizontal="center" wrapText="1"/>
    </xf>
    <xf numFmtId="4" fillId="0" fontId="0" borderId="0" applyAlignment="1">
      <alignment vertical="center" horizontal="center" wrapText="1"/>
    </xf>
    <xf numFmtId="49" fillId="0" fontId="0" borderId="0"/>
    <xf numFmtId="164" fillId="0" fontId="0" borderId="0"/>
    <xf numFmtId="165" fillId="0" fontId="0" borderId="0"/>
    <xf numFmtId="4" fillId="0" fontId="0" borderId="0"/>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202" headerRowCount="1" totalsRowCount="0">
  <autoFilter ref="A3:V2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31.89" customWidth="1" hidden="0"/>
    <col min="2" max="2" width="21.16" customWidth="1" hidden="0"/>
    <col min="3" max="3" width="29.03" customWidth="1" hidden="0"/>
    <col min="4" max="4" width="17.73" customWidth="1" hidden="0"/>
    <col min="5" max="5" width="15.73" customWidth="1" hidden="0"/>
    <col min="6" max="6" width="49.91" customWidth="1" hidden="1"/>
    <col min="7" max="7" width="49.91" customWidth="1" hidden="1"/>
    <col min="8" max="8" width="49.91" customWidth="1" hidden="1"/>
    <col min="9" max="9" width="54.05" customWidth="1" hidden="0"/>
    <col min="10" max="10" width="66.21" customWidth="1" hidden="1"/>
    <col min="11" max="11" width="23.6" customWidth="1" hidden="1"/>
    <col min="12" max="12" width="11.44" customWidth="1" hidden="0"/>
    <col min="13" max="13" width="21.59" customWidth="1" hidden="1"/>
    <col min="14" max="14" width="13.73" customWidth="1" hidden="0"/>
    <col min="15" max="15" width="25.31" customWidth="1" hidden="1"/>
    <col min="16" max="16" width="14.3" customWidth="1" hidden="0"/>
    <col min="17" max="17" width="15.16" customWidth="1" hidden="1"/>
    <col min="18" max="18" width="13.59" customWidth="1" hidden="0"/>
    <col min="19" max="19" width="30.03" customWidth="1" hidden="1"/>
    <col min="20" max="20" width="17.02" customWidth="1" hidden="0"/>
    <col min="21" max="21" width="16.16"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s>
  <sheetData>
    <row r="1" ht="30" customHeight="1">
      <c r="A1" s="1">
</c>
      <c r="B1" s="1">
</c>
      <c r="C1" s="1">
</c>
      <c r="D1" s="2">
</c>
      <c r="E1" s="1">
</c>
      <c r="F1" s="1">
</c>
      <c r="G1" s="2">
</c>
      <c r="H1" s="1">
</c>
      <c r="I1" s="3" t="s">
        <v>0</v>
      </c>
      <c r="J1" s="1">
</c>
      <c r="K1" s="1">
</c>
      <c r="L1" s="1">
</c>
      <c r="M1" s="1">
</c>
      <c r="N1" s="3">
</c>
      <c r="O1" s="1">
</c>
      <c r="P1" s="2">
</c>
      <c r="Q1" s="1">
</c>
      <c r="R1" s="1">
</c>
      <c r="S1" s="1">
</c>
      <c r="T1" s="1">
</c>
      <c r="U1" s="2">
</c>
    </row>
    <row r="2" ht="30" customHeight="1">
      <c r="B2" s="4">
</c>
      <c r="C2" s="5" cm="1" t="n">
        <f t="array" ref="C2">SUBTOTAL(9,V4:V202)</f>
        <v>58</v>
      </c>
      <c r="Q2" s="6" cm="1" t="n">
        <f t="array" ref="Q2">SUBTOTAL(9,Q4:Q302)</f>
        <v>15950000</v>
      </c>
      <c r="R2" s="6" cm="1" t="str">
        <f t="array" ref="R2">ROUND(Q2/1000000,3)&amp;" M€"</f>
        <v>15.95 M€</v>
      </c>
    </row>
    <row r="3" ht="38.25" customHeight="1">
      <c r="A3" s="2" t="s">
        <v>1</v>
      </c>
      <c r="B3" s="2" t="s">
        <v>2</v>
      </c>
      <c r="C3" s="2" t="s">
        <v>3</v>
      </c>
      <c r="D3" s="2" t="s">
        <v>4</v>
      </c>
      <c r="E3" s="2" t="s">
        <v>5</v>
      </c>
      <c r="F3" s="2" t="s">
        <v>6</v>
      </c>
      <c r="G3" s="2" t="s">
        <v>7</v>
      </c>
      <c r="H3" s="2" t="s">
        <v>8</v>
      </c>
      <c r="I3" s="2" t="s">
        <v>9</v>
      </c>
      <c r="J3" s="2" t="s">
        <v>10</v>
      </c>
      <c r="K3" s="2" t="s">
        <v>11</v>
      </c>
      <c r="L3" s="2" t="s">
        <v>12</v>
      </c>
      <c r="M3" s="7" t="s">
        <v>13</v>
      </c>
      <c r="N3" s="2" t="s">
        <v>14</v>
      </c>
      <c r="O3" s="2" t="s">
        <v>15</v>
      </c>
      <c r="P3" s="2" t="s">
        <v>16</v>
      </c>
      <c r="Q3" s="2" t="s">
        <v>17</v>
      </c>
      <c r="R3" s="2" t="s">
        <v>18</v>
      </c>
      <c r="S3" s="2" t="s">
        <v>19</v>
      </c>
      <c r="T3" s="2" t="s">
        <v>20</v>
      </c>
      <c r="U3" s="2" t="s">
        <v>21</v>
      </c>
      <c r="V3" t="s">
        <v>22</v>
      </c>
    </row>
    <row r="4" ht="78.75" customHeight="1">
      <c r="A4" s="4" t="s">
        <v>23</v>
      </c>
      <c r="B4" s="4" t="s">
        <v>24</v>
      </c>
      <c r="C4" s="8" t="s">
        <v>25</v>
      </c>
      <c r="D4" s="8" t="s">
        <v>25</v>
      </c>
      <c r="E4" s="4" t="s">
        <v>26</v>
      </c>
      <c r="F4" s="9" t="s">
        <v>27</v>
      </c>
      <c r="G4" s="9" cm="1" t="str">
        <f t="array" ref="G4">IF(F4="","",SUBSTITUTE(SUBSTITUTE(SUBSTITUTE(SUBSTITUTE(F4,"&lt;li&gt;",CHAR(10)),"&lt;/li&gt;",""),"&lt;br&gt;",CHAR(10)),"&lt;strong&gt;",""))</f>
        <v>&lt;p&gt;Piste créée pour équipe Ventes, tentative d'enrichissement échouée (email invalide), aucune activité ou échange significatif enregistré depuis. Opportunité finalisée en octobre 2025, pas d'action ou de suivi récent, aucune prochaine étape identifiée à ce jour.&lt;/p&gt;</v>
      </c>
      <c r="H4" s="9" cm="1" t="str">
        <f t="array" ref="H4">IF(G4="","",SUBSTITUTE(SUBSTITUTE(SUBSTITUTE(SUBSTITUTE(SUBSTITUTE(G4,"&lt;p&gt;",""),"&lt;/p&gt;",""),"&lt;ul&gt;",""),"&lt;/ul&gt;",""),"&lt;/strong&gt;",""))</f>
        <v>Piste créée pour équipe Ventes, tentative d'enrichissement échouée (email invalide), aucune activité ou échange significatif enregistré depuis. Opportunité finalisée en octobre 2025, pas d'action ou de suivi récent, aucune prochaine étape identifiée à ce jour.</v>
      </c>
      <c r="I4" s="9" cm="1" t="str">
        <f t="array" ref="I4">IF(C4="","",IF(OR(H4="",H4=0,H4=FALSE),"-",H4))</f>
        <v>Piste créée pour équipe Ventes, tentative d'enrichissement échouée (email invalide), aucune activité ou échange significatif enregistré depuis. Opportunité finalisée en octobre 2025, pas d'action ou de suivi récent, aucune prochaine étape identifiée à ce jour.</v>
      </c>
      <c r="J4">
</c>
      <c r="K4" s="4" t="s">
        <v>28</v>
      </c>
      <c r="L4" s="4" cm="1" t="str">
        <f t="array" ref="L4">IF(C4="","",IF(K4="Mort / Plus rien à faire","KO","OK"))</f>
        <v>OK</v>
      </c>
      <c r="M4" s="10">
        <v>46022.6159375</v>
      </c>
      <c r="N4" s="10" cm="1" t="n">
        <f t="array" ref="N4">IF(OR(C4="",M4="",M4=0),"",M4)</f>
        <v>46022.6159375</v>
      </c>
      <c r="O4" s="10">
</c>
      <c r="P4" s="10" cm="1" t="str">
        <f t="array" ref="P4">IF(C4="","",IF(OR(O4="",O4=0),"-",O4))</f>
        <v>-</v>
      </c>
      <c r="Q4" s="11">
        <v>300000</v>
      </c>
      <c r="R4" s="4" cm="1" t="str">
        <f t="array" ref="R4">IF(C4="","",ROUND(Q4/1000000,3)&amp;" M€")</f>
        <v>0.3 M€</v>
      </c>
      <c r="S4" s="12">
        <v>100</v>
      </c>
      <c r="T4" s="4" cm="1" t="str">
        <f t="array" ref="T4">IF(C4="","",SUBSTITUTE(S4,"","")&amp;"%")</f>
        <v>100%</v>
      </c>
      <c r="U4" s="4" cm="1" t="str">
        <f t="array" ref="U4">IF(($N4="")*($P4=""),"",IF(($N4&lt;&gt;"")*($N4&gt;TODAY()-9)*($N4&lt;TODAY()+1)*($P4&lt;&gt;"")*($P4&gt;=TODAY())*($P4&lt;=TODAY()+13),"Semaine passée &amp; à venir",IF(($N4&lt;&gt;"")*($N4&gt;TODAY()-9)*($N4&lt;TODAY()+1),"Semaine passée",IF(($P4&lt;&gt;"")*($P4&gt;=TODAY())*($P4&lt;=TODAY()+13),"À venir","Autre"))))</f>
        <v>Autre</v>
      </c>
      <c r="V4" cm="1" t="n">
        <f t="array" ref="V4">IF(C4&lt;&gt;"",1,0)</f>
        <v>1</v>
      </c>
    </row>
    <row r="5" ht="78.75" customHeight="1">
      <c r="A5" s="4" t="s">
        <v>23</v>
      </c>
      <c r="B5" s="4" t="s">
        <v>24</v>
      </c>
      <c r="C5" s="8" t="s">
        <v>29</v>
      </c>
      <c r="D5" s="8" t="s">
        <v>29</v>
      </c>
      <c r="E5" s="4" t="s">
        <v>26</v>
      </c>
      <c r="F5" t="s">
        <v>30</v>
      </c>
      <c r="G5" s="9" cm="1" t="str">
        <f t="array" ref="G5">IF(F5="","",SUBSTITUTE(SUBSTITUTE(SUBSTITUTE(SUBSTITUTE(F5,"&lt;li&gt;",CHAR(10)),"&lt;/li&gt;",""),"&lt;br&gt;",CHAR(10)),"&lt;strong&gt;",""))</f>
        <v>&lt;p&gt;Nouvelle piste créée pour équipe Ventes le 03/02/2026. Tentative d'enrichissement lead échouée (email invalide). Aucun échange ou action ultérieure enregistrée. Mention d'une finalisation en octobre 2025, sans détail. Pas d'activité récente ni prochaine étape identifiée.&lt;/p&gt;</v>
      </c>
      <c r="H5" s="9" cm="1" t="str">
        <f t="array" ref="H5">IF(G5="","",SUBSTITUTE(SUBSTITUTE(SUBSTITUTE(SUBSTITUTE(SUBSTITUTE(G5,"&lt;p&gt;",""),"&lt;/p&gt;",""),"&lt;ul&gt;",""),"&lt;/ul&gt;",""),"&lt;/strong&gt;",""))</f>
        <v>Nouvelle piste créée pour équipe Ventes le 03/02/2026. Tentative d'enrichissement lead échouée (email invalide). Aucun échange ou action ultérieure enregistrée. Mention d'une finalisation en octobre 2025, sans détail. Pas d'activité récente ni prochaine étape identifiée.</v>
      </c>
      <c r="I5" s="9" cm="1" t="str">
        <f t="array" ref="I5">IF(C5="","",IF(OR(H5="",H5=0,H5=FALSE),"-",H5))</f>
        <v>Nouvelle piste créée pour équipe Ventes le 03/02/2026. Tentative d'enrichissement lead échouée (email invalide). Aucun échange ou action ultérieure enregistrée. Mention d'une finalisation en octobre 2025, sans détail. Pas d'activité récente ni prochaine étape identifiée.</v>
      </c>
      <c r="J5">
</c>
      <c r="K5" s="4" t="s">
        <v>28</v>
      </c>
      <c r="L5" s="4" cm="1" t="str">
        <f t="array" ref="L5">IF(C5="","",IF(K5="Mort / Plus rien à faire","KO","OK"))</f>
        <v>OK</v>
      </c>
      <c r="M5" s="10">
        <v>46022.470659722225</v>
      </c>
      <c r="N5" s="10" cm="1" t="n">
        <f t="array" ref="N5">IF(OR(C5="",M5="",M5=0),"",M5)</f>
        <v>46022.470659722225</v>
      </c>
      <c r="O5" s="10">
</c>
      <c r="P5" s="10" cm="1" t="str">
        <f t="array" ref="P5">IF(C5="","",IF(OR(O5="",O5=0),"-",O5))</f>
        <v>-</v>
      </c>
      <c r="Q5" s="11">
        <v>100000</v>
      </c>
      <c r="R5" s="4" cm="1" t="str">
        <f t="array" ref="R5">IF(C5="","",ROUND(Q5/1000000,3)&amp;" M€")</f>
        <v>0.1 M€</v>
      </c>
      <c r="S5" s="12">
        <v>100</v>
      </c>
      <c r="T5" s="4" cm="1" t="str">
        <f t="array" ref="T5">IF(C5="","",SUBSTITUTE(S5,"","")&amp;"%")</f>
        <v>100%</v>
      </c>
      <c r="U5" s="4" cm="1" t="str">
        <f t="array" ref="U5">IF(($N5="")*($P5=""),"",IF(($N5&lt;&gt;"")*($N5&gt;TODAY()-9)*($N5&lt;TODAY()+1)*($P5&lt;&gt;"")*($P5&gt;=TODAY())*($P5&lt;=TODAY()+13),"Semaine passée &amp; à venir",IF(($N5&lt;&gt;"")*($N5&gt;TODAY()-9)*($N5&lt;TODAY()+1),"Semaine passée",IF(($P5&lt;&gt;"")*($P5&gt;=TODAY())*($P5&lt;=TODAY()+13),"À venir","Autre"))))</f>
        <v>Autre</v>
      </c>
      <c r="V5" cm="1" t="n">
        <f t="array" ref="V5">IF(C5&lt;&gt;"",1,0)</f>
        <v>1</v>
      </c>
    </row>
    <row r="6" ht="78.75" customHeight="1">
      <c r="A6" s="4" t="s">
        <v>23</v>
      </c>
      <c r="B6" s="4" t="s">
        <v>31</v>
      </c>
      <c r="C6" s="8" t="s">
        <v>32</v>
      </c>
      <c r="D6" s="8" t="s">
        <v>33</v>
      </c>
      <c r="E6" s="4" t="s">
        <v>26</v>
      </c>
      <c r="F6" t="s">
        <v>34</v>
      </c>
      <c r="G6" s="9" cm="1" t="str">
        <f t="array" ref="G6">IF(F6="","",SUBSTITUTE(SUBSTITUTE(SUBSTITUTE(SUBSTITUTE(F6,"&lt;li&gt;",CHAR(10)),"&lt;/li&gt;",""),"&lt;br&gt;",CHAR(10)),"&lt;strong&gt;",""))</f>
        <v>&lt;p&gt;Nouvelle piste créée équipe Ventes. Ticket potentiel évoqué courant février, montant estimé 375k. Tentative d'enrichissement lead échouée (email invalide). Aucune activité ou échange supplémentaire enregistré, prochaines étapes non précisées à ce stade.&lt;/p&gt;</v>
      </c>
      <c r="H6" s="9" cm="1" t="str">
        <f t="array" ref="H6">IF(G6="","",SUBSTITUTE(SUBSTITUTE(SUBSTITUTE(SUBSTITUTE(SUBSTITUTE(G6,"&lt;p&gt;",""),"&lt;/p&gt;",""),"&lt;ul&gt;",""),"&lt;/ul&gt;",""),"&lt;/strong&gt;",""))</f>
        <v>Nouvelle piste créée équipe Ventes. Ticket potentiel évoqué courant février, montant estimé 375k. Tentative d'enrichissement lead échouée (email invalide). Aucune activité ou échange supplémentaire enregistré, prochaines étapes non précisées à ce stade.</v>
      </c>
      <c r="I6" s="9" cm="1" t="str">
        <f t="array" ref="I6">IF(C6="","",IF(OR(H6="",H6=0,H6=FALSE),"-",H6))</f>
        <v>Nouvelle piste créée équipe Ventes. Ticket potentiel évoqué courant février, montant estimé 375k. Tentative d'enrichissement lead échouée (email invalide). Aucune activité ou échange supplémentaire enregistré, prochaines étapes non précisées à ce stade.</v>
      </c>
      <c r="J6">
</c>
      <c r="K6" s="4" t="s">
        <v>28</v>
      </c>
      <c r="L6" s="4" cm="1" t="str">
        <f t="array" ref="L6">IF(C6="","",IF(K6="Mort / Plus rien à faire","KO","OK"))</f>
        <v>OK</v>
      </c>
      <c r="M6" s="10">
        <v>46081.44582175926</v>
      </c>
      <c r="N6" s="10" cm="1" t="n">
        <f t="array" ref="N6">IF(OR(C6="",M6="",M6=0),"",M6)</f>
        <v>46081.44582175926</v>
      </c>
      <c r="O6" s="10">
</c>
      <c r="P6" s="10" cm="1" t="str">
        <f t="array" ref="P6">IF(C6="","",IF(OR(O6="",O6=0),"-",O6))</f>
        <v>-</v>
      </c>
      <c r="Q6" s="11">
        <v>100000</v>
      </c>
      <c r="R6" s="4" cm="1" t="str">
        <f t="array" ref="R6">IF(C6="","",ROUND(Q6/1000000,3)&amp;" M€")</f>
        <v>0.1 M€</v>
      </c>
      <c r="S6" s="12">
        <v>100</v>
      </c>
      <c r="T6" s="4" cm="1" t="str">
        <f t="array" ref="T6">IF(C6="","",SUBSTITUTE(S6,"","")&amp;"%")</f>
        <v>100%</v>
      </c>
      <c r="U6" s="4" cm="1" t="str">
        <f t="array" ref="U6">IF(($N6="")*($P6=""),"",IF(($N6&lt;&gt;"")*($N6&gt;TODAY()-9)*($N6&lt;TODAY()+1)*($P6&lt;&gt;"")*($P6&gt;=TODAY())*($P6&lt;=TODAY()+13),"Semaine passée &amp; à venir",IF(($N6&lt;&gt;"")*($N6&gt;TODAY()-9)*($N6&lt;TODAY()+1),"Semaine passée",IF(($P6&lt;&gt;"")*($P6&gt;=TODAY())*($P6&lt;=TODAY()+13),"À venir","Autre"))))</f>
        <v>Semaine passée</v>
      </c>
      <c r="V6" cm="1" t="n">
        <f t="array" ref="V6">IF(C6&lt;&gt;"",1,0)</f>
        <v>1</v>
      </c>
    </row>
    <row r="7" ht="78.75" customHeight="1">
      <c r="A7" s="4" t="s">
        <v>23</v>
      </c>
      <c r="B7" s="4" t="s">
        <v>31</v>
      </c>
      <c r="C7" s="8" t="s">
        <v>32</v>
      </c>
      <c r="D7" s="8" t="s">
        <v>33</v>
      </c>
      <c r="E7" s="4" t="s">
        <v>26</v>
      </c>
      <c r="F7" t="s">
        <v>35</v>
      </c>
      <c r="G7" s="9" cm="1" t="str">
        <f t="array" ref="G7">IF(F7="","",SUBSTITUTE(SUBSTITUTE(SUBSTITUTE(SUBSTITUTE(F7,"&lt;li&gt;",CHAR(10)),"&lt;/li&gt;",""),"&lt;br&gt;",CHAR(10)),"&lt;strong&gt;",""))</f>
        <v>&lt;p&gt;Piste créée pour équipe Ventes. Tentative d'enrichissement échouée (email invalide). Action principale : finalisation en février 2026. Pas d'autres activités, appels ou suivis enregistrés. Aucune prochaine étape identifiée à ce jour.&lt;/p&gt;</v>
      </c>
      <c r="H7" s="9" cm="1" t="str">
        <f t="array" ref="H7">IF(G7="","",SUBSTITUTE(SUBSTITUTE(SUBSTITUTE(SUBSTITUTE(SUBSTITUTE(G7,"&lt;p&gt;",""),"&lt;/p&gt;",""),"&lt;ul&gt;",""),"&lt;/ul&gt;",""),"&lt;/strong&gt;",""))</f>
        <v>Piste créée pour équipe Ventes. Tentative d'enrichissement échouée (email invalide). Action principale : finalisation en février 2026. Pas d'autres activités, appels ou suivis enregistrés. Aucune prochaine étape identifiée à ce jour.</v>
      </c>
      <c r="I7" s="9" cm="1" t="str">
        <f t="array" ref="I7">IF(C7="","",IF(OR(H7="",H7=0,H7=FALSE),"-",H7))</f>
        <v>Piste créée pour équipe Ventes. Tentative d'enrichissement échouée (email invalide). Action principale : finalisation en février 2026. Pas d'autres activités, appels ou suivis enregistrés. Aucune prochaine étape identifiée à ce jour.</v>
      </c>
      <c r="J7">
</c>
      <c r="K7" s="4" t="s">
        <v>28</v>
      </c>
      <c r="L7" s="4" cm="1" t="str">
        <f t="array" ref="L7">IF(C7="","",IF(K7="Mort / Plus rien à faire","KO","OK"))</f>
        <v>OK</v>
      </c>
      <c r="M7" s="10">
        <v>46056.6128125</v>
      </c>
      <c r="N7" s="10" cm="1" t="n">
        <f t="array" ref="N7">IF(OR(C7="",M7="",M7=0),"",M7)</f>
        <v>46056.6128125</v>
      </c>
      <c r="O7" s="10">
</c>
      <c r="P7" s="10" cm="1" t="str">
        <f t="array" ref="P7">IF(C7="","",IF(OR(O7="",O7=0),"-",O7))</f>
        <v>-</v>
      </c>
      <c r="Q7" s="11">
        <v>100000</v>
      </c>
      <c r="R7" s="4" cm="1" t="str">
        <f t="array" ref="R7">IF(C7="","",ROUND(Q7/1000000,3)&amp;" M€")</f>
        <v>0.1 M€</v>
      </c>
      <c r="S7" s="12">
        <v>100</v>
      </c>
      <c r="T7" s="4" cm="1" t="str">
        <f t="array" ref="T7">IF(C7="","",SUBSTITUTE(S7,"","")&amp;"%")</f>
        <v>100%</v>
      </c>
      <c r="U7" s="4" cm="1" t="str">
        <f t="array" ref="U7">IF(($N7="")*($P7=""),"",IF(($N7&lt;&gt;"")*($N7&gt;TODAY()-9)*($N7&lt;TODAY()+1)*($P7&lt;&gt;"")*($P7&gt;=TODAY())*($P7&lt;=TODAY()+13),"Semaine passée &amp; à venir",IF(($N7&lt;&gt;"")*($N7&gt;TODAY()-9)*($N7&lt;TODAY()+1),"Semaine passée",IF(($P7&lt;&gt;"")*($P7&gt;=TODAY())*($P7&lt;=TODAY()+13),"À venir","Autre"))))</f>
        <v>Autre</v>
      </c>
      <c r="V7" cm="1" t="n">
        <f t="array" ref="V7">IF(C7&lt;&gt;"",1,0)</f>
        <v>1</v>
      </c>
    </row>
    <row r="8" ht="78.75" customHeight="1">
      <c r="A8" s="4" t="s">
        <v>23</v>
      </c>
      <c r="B8" s="4" t="s">
        <v>24</v>
      </c>
      <c r="C8" s="8" t="s">
        <v>36</v>
      </c>
      <c r="D8" s="8" t="s">
        <v>36</v>
      </c>
      <c r="E8" s="4" t="s">
        <v>26</v>
      </c>
      <c r="F8" t="s">
        <v>37</v>
      </c>
      <c r="G8" s="9" cm="1" t="str">
        <f t="array" ref="G8">IF(F8="","",SUBSTITUTE(SUBSTITUTE(SUBSTITUTE(SUBSTITUTE(F8,"&lt;li&gt;",CHAR(10)),"&lt;/li&gt;",""),"&lt;br&gt;",CHAR(10)),"&lt;strong&gt;",""))</f>
        <v>&lt;p&gt;Nouvelle piste créée pour équipe Ventes le 03/02/2026. Tentative d'enrichissement lead échouée (email non valide). Aucun échange, appel ou activité supplémentaire enregistré depuis la création. Pas de retour prospect ni action planifiée à ce jour.&lt;/p&gt;</v>
      </c>
      <c r="H8" s="9" cm="1" t="str">
        <f t="array" ref="H8">IF(G8="","",SUBSTITUTE(SUBSTITUTE(SUBSTITUTE(SUBSTITUTE(SUBSTITUTE(G8,"&lt;p&gt;",""),"&lt;/p&gt;",""),"&lt;ul&gt;",""),"&lt;/ul&gt;",""),"&lt;/strong&gt;",""))</f>
        <v>Nouvelle piste créée pour équipe Ventes le 03/02/2026. Tentative d'enrichissement lead échouée (email non valide). Aucun échange, appel ou activité supplémentaire enregistré depuis la création. Pas de retour prospect ni action planifiée à ce jour.</v>
      </c>
      <c r="I8" s="9" cm="1" t="str">
        <f t="array" ref="I8">IF(C8="","",IF(OR(H8="",H8=0,H8=FALSE),"-",H8))</f>
        <v>Nouvelle piste créée pour équipe Ventes le 03/02/2026. Tentative d'enrichissement lead échouée (email non valide). Aucun échange, appel ou activité supplémentaire enregistré depuis la création. Pas de retour prospect ni action planifiée à ce jour.</v>
      </c>
      <c r="J8">
</c>
      <c r="K8" s="4" t="s">
        <v>28</v>
      </c>
      <c r="L8" s="4" cm="1" t="str">
        <f t="array" ref="L8">IF(C8="","",IF(K8="Mort / Plus rien à faire","KO","OK"))</f>
        <v>OK</v>
      </c>
      <c r="M8" s="10">
        <v>46022.61738425926</v>
      </c>
      <c r="N8" s="10" cm="1" t="n">
        <f t="array" ref="N8">IF(OR(C8="",M8="",M8=0),"",M8)</f>
        <v>46022.61738425926</v>
      </c>
      <c r="O8" s="10">
</c>
      <c r="P8" s="10" cm="1" t="str">
        <f t="array" ref="P8">IF(C8="","",IF(OR(O8="",O8=0),"-",O8))</f>
        <v>-</v>
      </c>
      <c r="Q8" s="11">
        <v>100000</v>
      </c>
      <c r="R8" s="4" cm="1" t="str">
        <f t="array" ref="R8">IF(C8="","",ROUND(Q8/1000000,3)&amp;" M€")</f>
        <v>0.1 M€</v>
      </c>
      <c r="S8" s="12">
        <v>100</v>
      </c>
      <c r="T8" s="4" cm="1" t="str">
        <f t="array" ref="T8">IF(C8="","",SUBSTITUTE(S8,"","")&amp;"%")</f>
        <v>100%</v>
      </c>
      <c r="U8" s="4" cm="1" t="str">
        <f t="array" ref="U8">IF(($N8="")*($P8=""),"",IF(($N8&lt;&gt;"")*($N8&gt;TODAY()-9)*($N8&lt;TODAY()+1)*($P8&lt;&gt;"")*($P8&gt;=TODAY())*($P8&lt;=TODAY()+13),"Semaine passée &amp; à venir",IF(($N8&lt;&gt;"")*($N8&gt;TODAY()-9)*($N8&lt;TODAY()+1),"Semaine passée",IF(($P8&lt;&gt;"")*($P8&gt;=TODAY())*($P8&lt;=TODAY()+13),"À venir","Autre"))))</f>
        <v>Autre</v>
      </c>
      <c r="V8" cm="1" t="n">
        <f t="array" ref="V8">IF(C8&lt;&gt;"",1,0)</f>
        <v>1</v>
      </c>
    </row>
    <row r="9" ht="78.75" customHeight="1">
      <c r="A9" s="4" t="s">
        <v>23</v>
      </c>
      <c r="B9" s="4" t="s">
        <v>38</v>
      </c>
      <c r="C9" s="8" t="s">
        <v>39</v>
      </c>
      <c r="D9" s="8" t="s">
        <v>40</v>
      </c>
      <c r="E9" s="4" t="s">
        <v>26</v>
      </c>
      <c r="F9" t="s">
        <v>41</v>
      </c>
      <c r="G9" s="9" cm="1" t="str">
        <f t="array" ref="G9">IF(F9="","",SUBSTITUTE(SUBSTITUTE(SUBSTITUTE(SUBSTITUTE(F9,"&lt;li&gt;",CHAR(10)),"&lt;/li&gt;",""),"&lt;br&gt;",CHAR(10)),"&lt;strong&gt;",""))</f>
        <v>&lt;p&gt;03/02/2026: Long échange explicatif, confiance renouvelée, décision de maintenir le ticket dans Géodesic. 28/01/2026: Proposition de call 30 min sur remploi pour deux fonds. Lead créé pour équipe Ventes. Pas d'autres activités ni prochaines actions planifiées à ce jour.&lt;/p&gt;</v>
      </c>
      <c r="H9" s="9" cm="1" t="str">
        <f t="array" ref="H9">IF(G9="","",SUBSTITUTE(SUBSTITUTE(SUBSTITUTE(SUBSTITUTE(SUBSTITUTE(G9,"&lt;p&gt;",""),"&lt;/p&gt;",""),"&lt;ul&gt;",""),"&lt;/ul&gt;",""),"&lt;/strong&gt;",""))</f>
        <v>03/02/2026: Long échange explicatif, confiance renouvelée, décision de maintenir le ticket dans Géodesic. 28/01/2026: Proposition de call 30 min sur remploi pour deux fonds. Lead créé pour équipe Ventes. Pas d'autres activités ni prochaines actions planifiées à ce jour.</v>
      </c>
      <c r="I9" s="9" cm="1" t="str">
        <f t="array" ref="I9">IF(C9="","",IF(OR(H9="",H9=0,H9=FALSE),"-",H9))</f>
        <v>03/02/2026: Long échange explicatif, confiance renouvelée, décision de maintenir le ticket dans Géodesic. 28/01/2026: Proposition de call 30 min sur remploi pour deux fonds. Lead créé pour équipe Ventes. Pas d'autres activités ni prochaines actions planifiées à ce jour.</v>
      </c>
      <c r="J9">
</c>
      <c r="K9" s="4" t="s">
        <v>28</v>
      </c>
      <c r="L9" s="4" cm="1" t="str">
        <f t="array" ref="L9">IF(C9="","",IF(K9="Mort / Plus rien à faire","KO","OK"))</f>
        <v>OK</v>
      </c>
      <c r="M9" s="10">
        <v>46083.72099537037</v>
      </c>
      <c r="N9" s="10" cm="1" t="n">
        <f t="array" ref="N9">IF(OR(C9="",M9="",M9=0),"",M9)</f>
        <v>46083.72099537037</v>
      </c>
      <c r="O9" s="10">
</c>
      <c r="P9" s="10" cm="1" t="str">
        <f t="array" ref="P9">IF(C9="","",IF(OR(O9="",O9=0),"-",O9))</f>
        <v>-</v>
      </c>
      <c r="Q9" s="11">
        <v>100000</v>
      </c>
      <c r="R9" s="4" cm="1" t="str">
        <f t="array" ref="R9">IF(C9="","",ROUND(Q9/1000000,3)&amp;" M€")</f>
        <v>0.1 M€</v>
      </c>
      <c r="S9" s="12">
        <v>100</v>
      </c>
      <c r="T9" s="4" cm="1" t="str">
        <f t="array" ref="T9">IF(C9="","",SUBSTITUTE(S9,"","")&amp;"%")</f>
        <v>100%</v>
      </c>
      <c r="U9" s="4" cm="1" t="str">
        <f t="array" ref="U9">IF(($N9="")*($P9=""),"",IF(($N9&lt;&gt;"")*($N9&gt;TODAY()-9)*($N9&lt;TODAY()+1)*($P9&lt;&gt;"")*($P9&gt;=TODAY())*($P9&lt;=TODAY()+13),"Semaine passée &amp; à venir",IF(($N9&lt;&gt;"")*($N9&gt;TODAY()-9)*($N9&lt;TODAY()+1),"Semaine passée",IF(($P9&lt;&gt;"")*($P9&gt;=TODAY())*($P9&lt;=TODAY()+13),"À venir","Autre"))))</f>
        <v>Semaine passée</v>
      </c>
      <c r="V9" cm="1" t="n">
        <f t="array" ref="V9">IF(C9&lt;&gt;"",1,0)</f>
        <v>1</v>
      </c>
    </row>
    <row r="10" ht="78.75" customHeight="1">
      <c r="A10" s="4" t="s">
        <v>23</v>
      </c>
      <c r="B10" s="4" t="s">
        <v>24</v>
      </c>
      <c r="C10" s="8" t="s">
        <v>42</v>
      </c>
      <c r="D10" s="8" t="s">
        <v>42</v>
      </c>
      <c r="E10" s="4" t="s">
        <v>26</v>
      </c>
      <c r="F10" t="s">
        <v>43</v>
      </c>
      <c r="G10" s="9" cm="1" t="str">
        <f t="array" ref="G10">IF(F10="","",SUBSTITUTE(SUBSTITUTE(SUBSTITUTE(SUBSTITUTE(F10,"&lt;li&gt;",CHAR(10)),"&lt;/li&gt;",""),"&lt;br&gt;",CHAR(10)),"&lt;strong&gt;",""))</f>
        <v>&lt;p&gt;Contact CB établi. 28/02/2026 : nouveau 100K engagé dans Géodesic, attente signature BS et virement avant 09/03/2026, date de fin AK privés Géodesic. Suivi en attente, aucune activité complémentaire ni retour prospect sur fonds présentés. Lead créé pour équipe Ventes.&lt;/p&gt;</v>
      </c>
      <c r="H10" s="9" cm="1" t="str">
        <f t="array" ref="H10">IF(G10="","",SUBSTITUTE(SUBSTITUTE(SUBSTITUTE(SUBSTITUTE(SUBSTITUTE(G10,"&lt;p&gt;",""),"&lt;/p&gt;",""),"&lt;ul&gt;",""),"&lt;/ul&gt;",""),"&lt;/strong&gt;",""))</f>
        <v>Contact CB établi. 28/02/2026 : nouveau 100K engagé dans Géodesic, attente signature BS et virement avant 09/03/2026, date de fin AK privés Géodesic. Suivi en attente, aucune activité complémentaire ni retour prospect sur fonds présentés. Lead créé pour équipe Ventes.</v>
      </c>
      <c r="I10" s="9" cm="1" t="str">
        <f t="array" ref="I10">IF(C10="","",IF(OR(H10="",H10=0,H10=FALSE),"-",H10))</f>
        <v>Contact CB établi. 28/02/2026 : nouveau 100K engagé dans Géodesic, attente signature BS et virement avant 09/03/2026, date de fin AK privés Géodesic. Suivi en attente, aucune activité complémentaire ni retour prospect sur fonds présentés. Lead créé pour équipe Ventes.</v>
      </c>
      <c r="J10">
</c>
      <c r="K10" s="4" t="s">
        <v>44</v>
      </c>
      <c r="L10" s="4" cm="1" t="str">
        <f t="array" ref="L10">IF(C10="","",IF(K10="Mort / Plus rien à faire","KO","OK"))</f>
        <v>OK</v>
      </c>
      <c r="M10" s="10">
        <v>46083.674675925926</v>
      </c>
      <c r="N10" s="10" cm="1" t="n">
        <f t="array" ref="N10">IF(OR(C10="",M10="",M10=0),"",M10)</f>
        <v>46083.674675925926</v>
      </c>
      <c r="O10" s="10">
</c>
      <c r="P10" s="10" cm="1" t="str">
        <f t="array" ref="P10">IF(C10="","",IF(OR(O10="",O10=0),"-",O10))</f>
        <v>-</v>
      </c>
      <c r="Q10" s="11">
        <v>100000</v>
      </c>
      <c r="R10" s="4" cm="1" t="str">
        <f t="array" ref="R10">IF(C10="","",ROUND(Q10/1000000,3)&amp;" M€")</f>
        <v>0.1 M€</v>
      </c>
      <c r="S10" s="12">
        <v>90</v>
      </c>
      <c r="T10" s="4" cm="1" t="str">
        <f t="array" ref="T10">IF(C10="","",SUBSTITUTE(S10,"","")&amp;"%")</f>
        <v>90%</v>
      </c>
      <c r="U10" s="4" cm="1" t="str">
        <f t="array" ref="U10">IF(($N10="")*($P10=""),"",IF(($N10&lt;&gt;"")*($N10&gt;TODAY()-9)*($N10&lt;TODAY()+1)*($P10&lt;&gt;"")*($P10&gt;=TODAY())*($P10&lt;=TODAY()+13),"Semaine passée &amp; à venir",IF(($N10&lt;&gt;"")*($N10&gt;TODAY()-9)*($N10&lt;TODAY()+1),"Semaine passée",IF(($P10&lt;&gt;"")*($P10&gt;=TODAY())*($P10&lt;=TODAY()+13),"À venir","Autre"))))</f>
        <v>Semaine passée</v>
      </c>
      <c r="V10" cm="1" t="n">
        <f t="array" ref="V10">IF(C10&lt;&gt;"",1,0)</f>
        <v>1</v>
      </c>
    </row>
    <row r="11" ht="78.75" customHeight="1">
      <c r="A11" s="4" t="s">
        <v>23</v>
      </c>
      <c r="B11" s="4" t="s">
        <v>24</v>
      </c>
      <c r="C11" s="8" t="s">
        <v>36</v>
      </c>
      <c r="D11" s="8" t="s">
        <v>36</v>
      </c>
      <c r="E11" s="4" t="s">
        <v>26</v>
      </c>
      <c r="F11" t="s">
        <v>45</v>
      </c>
      <c r="G11" s="9" cm="1" t="str">
        <f t="array" ref="G11">IF(F11="","",SUBSTITUTE(SUBSTITUTE(SUBSTITUTE(SUBSTITUTE(F11,"&lt;li&gt;",CHAR(10)),"&lt;/li&gt;",""),"&lt;br&gt;",CHAR(10)),"&lt;strong&gt;",""))</f>
        <v>&lt;p&gt;26/02 call prospect, évoqué possible nouvel investissement 100K Géodesic, prospect ouvert à échange, déjeuner envisagé le 24/03 chez Bourrienne, attente confirmation. Aucun retour prospect sur fonds présentés à ce stade. Prochaine étape : organiser déjeuner, relancer si besoin.&lt;/p&gt;</v>
      </c>
      <c r="H11" s="9" cm="1" t="str">
        <f t="array" ref="H11">IF(G11="","",SUBSTITUTE(SUBSTITUTE(SUBSTITUTE(SUBSTITUTE(SUBSTITUTE(G11,"&lt;p&gt;",""),"&lt;/p&gt;",""),"&lt;ul&gt;",""),"&lt;/ul&gt;",""),"&lt;/strong&gt;",""))</f>
        <v>26/02 call prospect, évoqué possible nouvel investissement 100K Géodesic, prospect ouvert à échange, déjeuner envisagé le 24/03 chez Bourrienne, attente confirmation. Aucun retour prospect sur fonds présentés à ce stade. Prochaine étape : organiser déjeuner, relancer si besoin.</v>
      </c>
      <c r="I11" s="9" cm="1" t="str">
        <f t="array" ref="I11">IF(C11="","",IF(OR(H11="",H11=0,H11=FALSE),"-",H11))</f>
        <v>26/02 call prospect, évoqué possible nouvel investissement 100K Géodesic, prospect ouvert à échange, déjeuner envisagé le 24/03 chez Bourrienne, attente confirmation. Aucun retour prospect sur fonds présentés à ce stade. Prochaine étape : organiser déjeuner, relancer si besoin.</v>
      </c>
      <c r="J11" t="s">
        <v>46</v>
      </c>
      <c r="K11" s="4" t="s">
        <v>44</v>
      </c>
      <c r="L11" s="4" cm="1" t="str">
        <f t="array" ref="L11">IF(C11="","",IF(K11="Mort / Plus rien à faire","KO","OK"))</f>
        <v>OK</v>
      </c>
      <c r="M11" s="10">
        <v>46087.70732638889</v>
      </c>
      <c r="N11" s="10" cm="1" t="n">
        <f t="array" ref="N11">IF(OR(C11="",M11="",M11=0),"",M11)</f>
        <v>46087.70732638889</v>
      </c>
      <c r="O11" s="10">
        <v>46105.041666666664</v>
      </c>
      <c r="P11" s="10" cm="1" t="n">
        <f t="array" ref="P11">IF(C11="","",IF(OR(O11="",O11=0),"-",O11))</f>
        <v>46105.041666666664</v>
      </c>
      <c r="Q11" s="11">
        <v>100000</v>
      </c>
      <c r="R11" s="4" cm="1" t="str">
        <f t="array" ref="R11">IF(C11="","",ROUND(Q11/1000000,3)&amp;" M€")</f>
        <v>0.1 M€</v>
      </c>
      <c r="S11" s="12">
        <v>50</v>
      </c>
      <c r="T11" s="4" cm="1" t="str">
        <f t="array" ref="T11">IF(C11="","",SUBSTITUTE(S11,"","")&amp;"%")</f>
        <v>50%</v>
      </c>
      <c r="U11" s="4" cm="1" t="str">
        <f t="array" ref="U11">IF(($N11="")*($P11=""),"",IF(($N11&lt;&gt;"")*($N11&gt;TODAY()-9)*($N11&lt;TODAY()+1)*($P11&lt;&gt;"")*($P11&gt;=TODAY())*($P11&lt;=TODAY()+13),"Semaine passée &amp; à venir",IF(($N11&lt;&gt;"")*($N11&gt;TODAY()-9)*($N11&lt;TODAY()+1),"Semaine passée",IF(($P11&lt;&gt;"")*($P11&gt;=TODAY())*($P11&lt;=TODAY()+13),"À venir","Autre"))))</f>
        <v>Semaine passée</v>
      </c>
      <c r="V11" cm="1" t="n">
        <f t="array" ref="V11">IF(C11&lt;&gt;"",1,0)</f>
        <v>1</v>
      </c>
    </row>
    <row r="12" ht="78.75" customHeight="1">
      <c r="A12" s="4" t="s">
        <v>23</v>
      </c>
      <c r="B12" s="4" t="s">
        <v>47</v>
      </c>
      <c r="C12" s="8" t="s">
        <v>48</v>
      </c>
      <c r="D12" s="8" t="s">
        <v>49</v>
      </c>
      <c r="E12" s="4" t="s">
        <v>50</v>
      </c>
      <c r="F12" t="s">
        <v>51</v>
      </c>
      <c r="G12" s="9" cm="1" t="str">
        <f t="array" ref="G12">IF(F12="","",SUBSTITUTE(SUBSTITUTE(SUBSTITUTE(SUBSTITUTE(F12,"&lt;li&gt;",CHAR(10)),"&lt;/li&gt;",""),"&lt;br&gt;",CHAR(10)),"&lt;strong&gt;",""))</f>
        <v>&lt;p&gt;Nouvelle piste créée pour équipe Ventes, aucune activité ou échange enregistré depuis la création. Aucun suivi, action ou retour prospect identifié à ce jour. Pas d'information sur contexte de création, ni d'étape suivante prévue. Aucun comité, ni conclusion ou avis prospect recensé.&lt;/p&gt;</v>
      </c>
      <c r="H12" s="9" cm="1" t="str">
        <f t="array" ref="H12">IF(G12="","",SUBSTITUTE(SUBSTITUTE(SUBSTITUTE(SUBSTITUTE(SUBSTITUTE(G12,"&lt;p&gt;",""),"&lt;/p&gt;",""),"&lt;ul&gt;",""),"&lt;/ul&gt;",""),"&lt;/strong&gt;",""))</f>
        <v>Nouvelle piste créée pour équipe Ventes, aucune activité ou échange enregistré depuis la création. Aucun suivi, action ou retour prospect identifié à ce jour. Pas d'information sur contexte de création, ni d'étape suivante prévue. Aucun comité, ni conclusion ou avis prospect recensé.</v>
      </c>
      <c r="I12" s="9" cm="1" t="str">
        <f t="array" ref="I12">IF(C12="","",IF(OR(H12="",H12=0,H12=FALSE),"-",H12))</f>
        <v>Nouvelle piste créée pour équipe Ventes, aucune activité ou échange enregistré depuis la création. Aucun suivi, action ou retour prospect identifié à ce jour. Pas d'information sur contexte de création, ni d'étape suivante prévue. Aucun comité, ni conclusion ou avis prospect recensé.</v>
      </c>
      <c r="J12" t="s">
        <v>52</v>
      </c>
      <c r="K12" s="4" t="s">
        <v>53</v>
      </c>
      <c r="L12" s="4" cm="1" t="str">
        <f t="array" ref="L12">IF(C12="","",IF(K12="Mort / Plus rien à faire","KO","OK"))</f>
        <v>OK</v>
      </c>
      <c r="M12" s="10">
        <v>46071.38337962963</v>
      </c>
      <c r="N12" s="10" cm="1" t="n">
        <f t="array" ref="N12">IF(OR(C12="",M12="",M12=0),"",M12)</f>
        <v>46071.38337962963</v>
      </c>
      <c r="O12" s="10">
        <v>46119.083333333336</v>
      </c>
      <c r="P12" s="10" cm="1" t="n">
        <f t="array" ref="P12">IF(C12="","",IF(OR(O12="",O12=0),"-",O12))</f>
        <v>46119.083333333336</v>
      </c>
      <c r="Q12" s="11">
        <v>10000000</v>
      </c>
      <c r="R12" s="4" cm="1" t="str">
        <f t="array" ref="R12">IF(C12="","",ROUND(Q12/1000000,3)&amp;" M€")</f>
        <v>10 M€</v>
      </c>
      <c r="S12" s="12">
        <v>30</v>
      </c>
      <c r="T12" s="4" cm="1" t="str">
        <f t="array" ref="T12">IF(C12="","",SUBSTITUTE(S12,"","")&amp;"%")</f>
        <v>30%</v>
      </c>
      <c r="U12" s="4" cm="1" t="str">
        <f t="array" ref="U12">IF(($N12="")*($P12=""),"",IF(($N12&lt;&gt;"")*($N12&gt;TODAY()-9)*($N12&lt;TODAY()+1)*($P12&lt;&gt;"")*($P12&gt;=TODAY())*($P12&lt;=TODAY()+13),"Semaine passée &amp; à venir",IF(($N12&lt;&gt;"")*($N12&gt;TODAY()-9)*($N12&lt;TODAY()+1),"Semaine passée",IF(($P12&lt;&gt;"")*($P12&gt;=TODAY())*($P12&lt;=TODAY()+13),"À venir","Autre"))))</f>
        <v>Autre</v>
      </c>
      <c r="V12" cm="1" t="n">
        <f t="array" ref="V12">IF(C12&lt;&gt;"",1,0)</f>
        <v>1</v>
      </c>
    </row>
    <row r="13" ht="78.75" customHeight="1">
      <c r="A13" s="4" t="s">
        <v>23</v>
      </c>
      <c r="B13" s="4" t="s">
        <v>38</v>
      </c>
      <c r="C13" s="8" t="s">
        <v>54</v>
      </c>
      <c r="D13" s="8" t="s">
        <v>55</v>
      </c>
      <c r="E13" s="4" t="s">
        <v>56</v>
      </c>
      <c r="F13" t="s">
        <v>57</v>
      </c>
      <c r="G13" s="9" cm="1" t="str">
        <f t="array" ref="G13">IF(F13="","",SUBSTITUTE(SUBSTITUTE(SUBSTITUTE(SUBSTITUTE(F13,"&lt;li&gt;",CHAR(10)),"&lt;/li&gt;",""),"&lt;br&gt;",CHAR(10)),"&lt;strong&gt;",""))</f>
        <v>&lt;p&gt;Aucune activité menée sur le prospect. Guillaume Duport a fondé son cabinet il y a deux ans, vise 7M€/an en PE, clientèle jeune, majoritairement fonds de fonds via Cédrus, Opale, Archinvest. Pas de VC actuellement. Aucun retour ou action récente, ni conclusion prospect sur fonds présentés.&lt;/p&gt;</v>
      </c>
      <c r="H13" s="9" cm="1" t="str">
        <f t="array" ref="H13">IF(G13="","",SUBSTITUTE(SUBSTITUTE(SUBSTITUTE(SUBSTITUTE(SUBSTITUTE(G13,"&lt;p&gt;",""),"&lt;/p&gt;",""),"&lt;ul&gt;",""),"&lt;/ul&gt;",""),"&lt;/strong&gt;",""))</f>
        <v>Aucune activité menée sur le prospect. Guillaume Duport a fondé son cabinet il y a deux ans, vise 7M€/an en PE, clientèle jeune, majoritairement fonds de fonds via Cédrus, Opale, Archinvest. Pas de VC actuellement. Aucun retour ou action récente, ni conclusion prospect sur fonds présentés.</v>
      </c>
      <c r="I13" s="9" cm="1" t="str">
        <f t="array" ref="I13">IF(C13="","",IF(OR(H13="",H13=0,H13=FALSE),"-",H13))</f>
        <v>Aucune activité menée sur le prospect. Guillaume Duport a fondé son cabinet il y a deux ans, vise 7M€/an en PE, clientèle jeune, majoritairement fonds de fonds via Cédrus, Opale, Archinvest. Pas de VC actuellement. Aucun retour ou action récente, ni conclusion prospect sur fonds présentés.</v>
      </c>
      <c r="J13" t="s">
        <v>58</v>
      </c>
      <c r="K13" s="4" t="s">
        <v>59</v>
      </c>
      <c r="L13" s="4" cm="1" t="str">
        <f t="array" ref="L13">IF(C13="","",IF(K13="Mort / Plus rien à faire","KO","OK"))</f>
        <v>OK</v>
      </c>
      <c r="M13" s="10">
        <v>46084.47920138889</v>
      </c>
      <c r="N13" s="10" cm="1" t="n">
        <f t="array" ref="N13">IF(OR(C13="",M13="",M13=0),"",M13)</f>
        <v>46084.47920138889</v>
      </c>
      <c r="O13" s="10">
        <v>46091.041666666664</v>
      </c>
      <c r="P13" s="10" cm="1" t="n">
        <f t="array" ref="P13">IF(C13="","",IF(OR(O13="",O13=0),"-",O13))</f>
        <v>46091.041666666664</v>
      </c>
      <c r="Q13" s="11">
        <v>0</v>
      </c>
      <c r="R13" s="4" cm="1" t="str">
        <f t="array" ref="R13">IF(C13="","",ROUND(Q13/1000000,3)&amp;" M€")</f>
        <v>0 M€</v>
      </c>
      <c r="S13" s="12">
        <v>30</v>
      </c>
      <c r="T13" s="4" cm="1" t="str">
        <f t="array" ref="T13">IF(C13="","",SUBSTITUTE(S13,"","")&amp;"%")</f>
        <v>30%</v>
      </c>
      <c r="U13" s="4" cm="1" t="str">
        <f t="array" ref="U13">IF(($N13="")*($P13=""),"",IF(($N13&lt;&gt;"")*($N13&gt;TODAY()-9)*($N13&lt;TODAY()+1)*($P13&lt;&gt;"")*($P13&gt;=TODAY())*($P13&lt;=TODAY()+13),"Semaine passée &amp; à venir",IF(($N13&lt;&gt;"")*($N13&gt;TODAY()-9)*($N13&lt;TODAY()+1),"Semaine passée",IF(($P13&lt;&gt;"")*($P13&gt;=TODAY())*($P13&lt;=TODAY()+13),"À venir","Autre"))))</f>
        <v>Semaine passée &amp; à venir</v>
      </c>
      <c r="V13" cm="1" t="n">
        <f t="array" ref="V13">IF(C13&lt;&gt;"",1,0)</f>
        <v>1</v>
      </c>
    </row>
    <row r="14" ht="78.75" customHeight="1">
      <c r="A14" s="4" t="s">
        <v>23</v>
      </c>
      <c r="B14" s="4" t="s">
        <v>31</v>
      </c>
      <c r="C14" s="8" t="s">
        <v>60</v>
      </c>
      <c r="D14" s="8" t="s">
        <v>61</v>
      </c>
      <c r="E14" s="4" t="s">
        <v>56</v>
      </c>
      <c r="F14" t="s">
        <v>62</v>
      </c>
      <c r="G14" s="9" cm="1" t="str">
        <f t="array" ref="G14">IF(F14="","",SUBSTITUTE(SUBSTITUTE(SUBSTITUTE(SUBSTITUTE(F14,"&lt;li&gt;",CHAR(10)),"&lt;/li&gt;",""),"&lt;br&gt;",CHAR(10)),"&lt;strong&gt;",""))</f>
        <v>&lt;p&gt;Relance mail envoyée, Benoît prend plus de temps pour audit clients, RDV reporté à mars. RDV à organiser à Toulouse courant mars. Création du MFO en 2025, 6 familles toulousaines, exécution investissements prévue 2026, 3 nouvelles familles pourraient rejoindre. Prochaine étape : fixer RDV.&lt;/p&gt;</v>
      </c>
      <c r="H14" s="9" cm="1" t="str">
        <f t="array" ref="H14">IF(G14="","",SUBSTITUTE(SUBSTITUTE(SUBSTITUTE(SUBSTITUTE(SUBSTITUTE(G14,"&lt;p&gt;",""),"&lt;/p&gt;",""),"&lt;ul&gt;",""),"&lt;/ul&gt;",""),"&lt;/strong&gt;",""))</f>
        <v>Relance mail envoyée, Benoît prend plus de temps pour audit clients, RDV reporté à mars. RDV à organiser à Toulouse courant mars. Création du MFO en 2025, 6 familles toulousaines, exécution investissements prévue 2026, 3 nouvelles familles pourraient rejoindre. Prochaine étape : fixer RDV.</v>
      </c>
      <c r="I14" s="9" cm="1" t="str">
        <f t="array" ref="I14">IF(C14="","",IF(OR(H14="",H14=0,H14=FALSE),"-",H14))</f>
        <v>Relance mail envoyée, Benoît prend plus de temps pour audit clients, RDV reporté à mars. RDV à organiser à Toulouse courant mars. Création du MFO en 2025, 6 familles toulousaines, exécution investissements prévue 2026, 3 nouvelles familles pourraient rejoindre. Prochaine étape : fixer RDV.</v>
      </c>
      <c r="J14" t="s">
        <v>63</v>
      </c>
      <c r="K14" s="4" t="s">
        <v>44</v>
      </c>
      <c r="L14" s="4" cm="1" t="str">
        <f t="array" ref="L14">IF(C14="","",IF(K14="Mort / Plus rien à faire","KO","OK"))</f>
        <v>OK</v>
      </c>
      <c r="M14" s="10">
        <v>46083.66931712963</v>
      </c>
      <c r="N14" s="10" cm="1" t="n">
        <f t="array" ref="N14">IF(OR(C14="",M14="",M14=0),"",M14)</f>
        <v>46083.66931712963</v>
      </c>
      <c r="O14" s="10">
        <v>46105.041666666664</v>
      </c>
      <c r="P14" s="10" cm="1" t="n">
        <f t="array" ref="P14">IF(C14="","",IF(OR(O14="",O14=0),"-",O14))</f>
        <v>46105.041666666664</v>
      </c>
      <c r="Q14" s="11">
        <v>0</v>
      </c>
      <c r="R14" s="4" cm="1" t="str">
        <f t="array" ref="R14">IF(C14="","",ROUND(Q14/1000000,3)&amp;" M€")</f>
        <v>0 M€</v>
      </c>
      <c r="S14" s="12">
        <v>30</v>
      </c>
      <c r="T14" s="4" cm="1" t="str">
        <f t="array" ref="T14">IF(C14="","",SUBSTITUTE(S14,"","")&amp;"%")</f>
        <v>30%</v>
      </c>
      <c r="U14" s="4" cm="1" t="str">
        <f t="array" ref="U14">IF(($N14="")*($P14=""),"",IF(($N14&lt;&gt;"")*($N14&gt;TODAY()-9)*($N14&lt;TODAY()+1)*($P14&lt;&gt;"")*($P14&gt;=TODAY())*($P14&lt;=TODAY()+13),"Semaine passée &amp; à venir",IF(($N14&lt;&gt;"")*($N14&gt;TODAY()-9)*($N14&lt;TODAY()+1),"Semaine passée",IF(($P14&lt;&gt;"")*($P14&gt;=TODAY())*($P14&lt;=TODAY()+13),"À venir","Autre"))))</f>
        <v>Semaine passée</v>
      </c>
      <c r="V14" cm="1" t="n">
        <f t="array" ref="V14">IF(C14&lt;&gt;"",1,0)</f>
        <v>1</v>
      </c>
    </row>
    <row r="15" ht="78.75" customHeight="1">
      <c r="A15" s="4" t="s">
        <v>23</v>
      </c>
      <c r="B15" s="4" t="s">
        <v>38</v>
      </c>
      <c r="C15" s="8" t="s">
        <v>64</v>
      </c>
      <c r="D15" s="8" t="s">
        <v>65</v>
      </c>
      <c r="E15" s="4" t="s">
        <v>26</v>
      </c>
      <c r="F15" t="s">
        <v>66</v>
      </c>
      <c r="G15" s="9" cm="1" t="str">
        <f t="array" ref="G15">IF(F15="","",SUBSTITUTE(SUBSTITUTE(SUBSTITUTE(SUBSTITUTE(F15,"&lt;li&gt;",CHAR(10)),"&lt;/li&gt;",""),"&lt;br&gt;",CHAR(10)),"&lt;strong&gt;",""))</f>
        <v>&lt;p data-oe-version="2.0"&gt;Déjeuner prévu 12/03&lt;/p&gt;&lt;p&gt;&amp;nbsp;avec Daylight FO (Dorian Lagarnaudie), participants Charles, Olivier, Thomas. Dernier échange 09/02 : nouvelles dates à positionner. Création piste pour équipe Ventes. Enrichissement lead impossible (email invalide). Prochaine étape : fixer RDV.&lt;/p&gt;</v>
      </c>
      <c r="H15" s="9" cm="1" t="str">
        <f t="array" ref="H15">IF(G15="","",SUBSTITUTE(SUBSTITUTE(SUBSTITUTE(SUBSTITUTE(SUBSTITUTE(G15,"&lt;p&gt;",""),"&lt;/p&gt;",""),"&lt;ul&gt;",""),"&lt;/ul&gt;",""),"&lt;/strong&gt;",""))</f>
        <v>&lt;p data-oe-version="2.0"&gt;Déjeuner prévu 12/03&amp;nbsp;avec Daylight FO (Dorian Lagarnaudie), participants Charles, Olivier, Thomas. Dernier échange 09/02 : nouvelles dates à positionner. Création piste pour équipe Ventes. Enrichissement lead impossible (email invalide). Prochaine étape : fixer RDV.</v>
      </c>
      <c r="I15" s="9" cm="1" t="str">
        <f t="array" ref="I15">IF(C15="","",IF(OR(H15="",H15=0,H15=FALSE),"-",H15))</f>
        <v>&lt;p data-oe-version="2.0"&gt;Déjeuner prévu 12/03&amp;nbsp;avec Daylight FO (Dorian Lagarnaudie), participants Charles, Olivier, Thomas. Dernier échange 09/02 : nouvelles dates à positionner. Création piste pour équipe Ventes. Enrichissement lead impossible (email invalide). Prochaine étape : fixer RDV.</v>
      </c>
      <c r="J15" t="s">
        <v>67</v>
      </c>
      <c r="K15" s="4" t="s">
        <v>44</v>
      </c>
      <c r="L15" s="4" cm="1" t="str">
        <f t="array" ref="L15">IF(C15="","",IF(K15="Mort / Plus rien à faire","KO","OK"))</f>
        <v>OK</v>
      </c>
      <c r="M15" s="10">
        <v>46063.59190972222</v>
      </c>
      <c r="N15" s="10" cm="1" t="n">
        <f t="array" ref="N15">IF(OR(C15="",M15="",M15=0),"",M15)</f>
        <v>46063.59190972222</v>
      </c>
      <c r="O15" s="10">
</c>
      <c r="P15" s="10" cm="1" t="str">
        <f t="array" ref="P15">IF(C15="","",IF(OR(O15="",O15=0),"-",O15))</f>
        <v>-</v>
      </c>
      <c r="Q15" s="11">
        <v>900000</v>
      </c>
      <c r="R15" s="4" cm="1" t="str">
        <f t="array" ref="R15">IF(C15="","",ROUND(Q15/1000000,3)&amp;" M€")</f>
        <v>0.9 M€</v>
      </c>
      <c r="S15" s="12">
        <v>30</v>
      </c>
      <c r="T15" s="4" cm="1" t="str">
        <f t="array" ref="T15">IF(C15="","",SUBSTITUTE(S15,"","")&amp;"%")</f>
        <v>30%</v>
      </c>
      <c r="U15" s="4" cm="1" t="str">
        <f t="array" ref="U15">IF(($N15="")*($P15=""),"",IF(($N15&lt;&gt;"")*($N15&gt;TODAY()-9)*($N15&lt;TODAY()+1)*($P15&lt;&gt;"")*($P15&gt;=TODAY())*($P15&lt;=TODAY()+13),"Semaine passée &amp; à venir",IF(($N15&lt;&gt;"")*($N15&gt;TODAY()-9)*($N15&lt;TODAY()+1),"Semaine passée",IF(($P15&lt;&gt;"")*($P15&gt;=TODAY())*($P15&lt;=TODAY()+13),"À venir","Autre"))))</f>
        <v>Autre</v>
      </c>
      <c r="V15" cm="1" t="n">
        <f t="array" ref="V15">IF(C15&lt;&gt;"",1,0)</f>
        <v>1</v>
      </c>
    </row>
    <row r="16" ht="78.75" customHeight="1">
      <c r="A16" s="4" t="s">
        <v>23</v>
      </c>
      <c r="B16" s="4" t="s">
        <v>68</v>
      </c>
      <c r="C16" s="8" t="s">
        <v>69</v>
      </c>
      <c r="D16" s="8" t="s">
        <v>69</v>
      </c>
      <c r="E16" s="4" t="s">
        <v>26</v>
      </c>
      <c r="F16" t="s">
        <v>70</v>
      </c>
      <c r="G16" s="9" cm="1" t="str">
        <f t="array" ref="G16">IF(F16="","",SUBSTITUTE(SUBSTITUTE(SUBSTITUTE(SUBSTITUTE(F16,"&lt;li&gt;",CHAR(10)),"&lt;/li&gt;",""),"&lt;br&gt;",CHAR(10)),"&lt;strong&gt;",""))</f>
        <v>&lt;p&gt;Déj. Bourrienne CB, OPNF, VB avec Vivacto FO (F. Quentin) : intérêt pour Straton et Géodesic, possible 2x500K. Lead créé équipe Ventes. Enrichissement lead impossible (email invalide). Prochaine étape : analyse Straton/Géodesic. Pas d'autres activités ou retours prospect notés.&lt;/p&gt;</v>
      </c>
      <c r="H16" s="9" cm="1" t="str">
        <f t="array" ref="H16">IF(G16="","",SUBSTITUTE(SUBSTITUTE(SUBSTITUTE(SUBSTITUTE(SUBSTITUTE(G16,"&lt;p&gt;",""),"&lt;/p&gt;",""),"&lt;ul&gt;",""),"&lt;/ul&gt;",""),"&lt;/strong&gt;",""))</f>
        <v>Déj. Bourrienne CB, OPNF, VB avec Vivacto FO (F. Quentin) : intérêt pour Straton et Géodesic, possible 2x500K. Lead créé équipe Ventes. Enrichissement lead impossible (email invalide). Prochaine étape : analyse Straton/Géodesic. Pas d'autres activités ou retours prospect notés.</v>
      </c>
      <c r="I16" s="9" cm="1" t="str">
        <f t="array" ref="I16">IF(C16="","",IF(OR(H16="",H16=0,H16=FALSE),"-",H16))</f>
        <v>Déj. Bourrienne CB, OPNF, VB avec Vivacto FO (F. Quentin) : intérêt pour Straton et Géodesic, possible 2x500K. Lead créé équipe Ventes. Enrichissement lead impossible (email invalide). Prochaine étape : analyse Straton/Géodesic. Pas d'autres activités ou retours prospect notés.</v>
      </c>
      <c r="J16">
</c>
      <c r="K16" s="4" t="s">
        <v>44</v>
      </c>
      <c r="L16" s="4" cm="1" t="str">
        <f t="array" ref="L16">IF(C16="","",IF(K16="Mort / Plus rien à faire","KO","OK"))</f>
        <v>OK</v>
      </c>
      <c r="M16" s="10">
        <v>46087.716157407405</v>
      </c>
      <c r="N16" s="10" cm="1" t="n">
        <f t="array" ref="N16">IF(OR(C16="",M16="",M16=0),"",M16)</f>
        <v>46087.716157407405</v>
      </c>
      <c r="O16" s="10">
        <v>46087.041666666664</v>
      </c>
      <c r="P16" s="10" cm="1" t="n">
        <f t="array" ref="P16">IF(C16="","",IF(OR(O16="",O16=0),"-",O16))</f>
        <v>46087.041666666664</v>
      </c>
      <c r="Q16" s="11">
        <v>500000</v>
      </c>
      <c r="R16" s="4" cm="1" t="str">
        <f t="array" ref="R16">IF(C16="","",ROUND(Q16/1000000,3)&amp;" M€")</f>
        <v>0.5 M€</v>
      </c>
      <c r="S16" s="12">
        <v>30</v>
      </c>
      <c r="T16" s="4" cm="1" t="str">
        <f t="array" ref="T16">IF(C16="","",SUBSTITUTE(S16,"","")&amp;"%")</f>
        <v>30%</v>
      </c>
      <c r="U16" s="4" cm="1" t="str">
        <f t="array" ref="U16">IF(($N16="")*($P16=""),"",IF(($N16&lt;&gt;"")*($N16&gt;TODAY()-9)*($N16&lt;TODAY()+1)*($P16&lt;&gt;"")*($P16&gt;=TODAY())*($P16&lt;=TODAY()+13),"Semaine passée &amp; à venir",IF(($N16&lt;&gt;"")*($N16&gt;TODAY()-9)*($N16&lt;TODAY()+1),"Semaine passée",IF(($P16&lt;&gt;"")*($P16&gt;=TODAY())*($P16&lt;=TODAY()+13),"À venir","Autre"))))</f>
        <v>Semaine passée &amp; à venir</v>
      </c>
      <c r="V16" cm="1" t="n">
        <f t="array" ref="V16">IF(C16&lt;&gt;"",1,0)</f>
        <v>1</v>
      </c>
    </row>
    <row r="17" ht="78.75" customHeight="1">
      <c r="A17" s="4" t="s">
        <v>23</v>
      </c>
      <c r="B17" s="4" t="s">
        <v>38</v>
      </c>
      <c r="C17" s="8" t="s">
        <v>71</v>
      </c>
      <c r="D17" s="8" t="s">
        <v>72</v>
      </c>
      <c r="E17" s="4" t="s">
        <v>26</v>
      </c>
      <c r="F17" t="s">
        <v>73</v>
      </c>
      <c r="G17" s="9" cm="1" t="str">
        <f t="array" ref="G17">IF(F17="","",SUBSTITUTE(SUBSTITUTE(SUBSTITUTE(SUBSTITUTE(F17,"&lt;li&gt;",CHAR(10)),"&lt;/li&gt;",""),"&lt;br&gt;",CHAR(10)),"&lt;strong&gt;",""))</f>
        <v>&lt;p&gt;03/02/2026: Client intéressé pour 250 K dans le spatial, diversification. Relance info AK en cours. Nouvelle piste créée pour équipe Ventes. Tentative d'enrichissement lead échouée (email invalide). Dernières actions poussées par Owners. Prochaine étape&amp;nbsp;: relance info AK.&lt;/p&gt;</v>
      </c>
      <c r="H17" s="9" cm="1" t="str">
        <f t="array" ref="H17">IF(G17="","",SUBSTITUTE(SUBSTITUTE(SUBSTITUTE(SUBSTITUTE(SUBSTITUTE(G17,"&lt;p&gt;",""),"&lt;/p&gt;",""),"&lt;ul&gt;",""),"&lt;/ul&gt;",""),"&lt;/strong&gt;",""))</f>
        <v>03/02/2026: Client intéressé pour 250 K dans le spatial, diversification. Relance info AK en cours. Nouvelle piste créée pour équipe Ventes. Tentative d'enrichissement lead échouée (email invalide). Dernières actions poussées par Owners. Prochaine étape&amp;nbsp;: relance info AK.</v>
      </c>
      <c r="I17" s="9" cm="1" t="str">
        <f t="array" ref="I17">IF(C17="","",IF(OR(H17="",H17=0,H17=FALSE),"-",H17))</f>
        <v>03/02/2026: Client intéressé pour 250 K dans le spatial, diversification. Relance info AK en cours. Nouvelle piste créée pour équipe Ventes. Tentative d'enrichissement lead échouée (email invalide). Dernières actions poussées par Owners. Prochaine étape&amp;nbsp;: relance info AK.</v>
      </c>
      <c r="J17">
</c>
      <c r="K17" s="4" t="s">
        <v>44</v>
      </c>
      <c r="L17" s="4" cm="1" t="str">
        <f t="array" ref="L17">IF(C17="","",IF(K17="Mort / Plus rien à faire","KO","OK"))</f>
        <v>OK</v>
      </c>
      <c r="M17" s="10">
        <v>46083.58495370371</v>
      </c>
      <c r="N17" s="10" cm="1" t="n">
        <f t="array" ref="N17">IF(OR(C17="",M17="",M17=0),"",M17)</f>
        <v>46083.58495370371</v>
      </c>
      <c r="O17" s="10">
</c>
      <c r="P17" s="10" cm="1" t="str">
        <f t="array" ref="P17">IF(C17="","",IF(OR(O17="",O17=0),"-",O17))</f>
        <v>-</v>
      </c>
      <c r="Q17" s="11">
        <v>250000</v>
      </c>
      <c r="R17" s="4" cm="1" t="str">
        <f t="array" ref="R17">IF(C17="","",ROUND(Q17/1000000,3)&amp;" M€")</f>
        <v>0.25 M€</v>
      </c>
      <c r="S17" s="12">
        <v>30</v>
      </c>
      <c r="T17" s="4" cm="1" t="str">
        <f t="array" ref="T17">IF(C17="","",SUBSTITUTE(S17,"","")&amp;"%")</f>
        <v>30%</v>
      </c>
      <c r="U17" s="4" cm="1" t="str">
        <f t="array" ref="U17">IF(($N17="")*($P17=""),"",IF(($N17&lt;&gt;"")*($N17&gt;TODAY()-9)*($N17&lt;TODAY()+1)*($P17&lt;&gt;"")*($P17&gt;=TODAY())*($P17&lt;=TODAY()+13),"Semaine passée &amp; à venir",IF(($N17&lt;&gt;"")*($N17&gt;TODAY()-9)*($N17&lt;TODAY()+1),"Semaine passée",IF(($P17&lt;&gt;"")*($P17&gt;=TODAY())*($P17&lt;=TODAY()+13),"À venir","Autre"))))</f>
        <v>Semaine passée</v>
      </c>
      <c r="V17" cm="1" t="n">
        <f t="array" ref="V17">IF(C17&lt;&gt;"",1,0)</f>
        <v>1</v>
      </c>
    </row>
    <row r="18" ht="78.75" customHeight="1">
      <c r="A18" s="4" t="s">
        <v>23</v>
      </c>
      <c r="B18" s="4" t="s">
        <v>38</v>
      </c>
      <c r="C18" s="8" t="s">
        <v>74</v>
      </c>
      <c r="D18" s="8" t="s">
        <v>75</v>
      </c>
      <c r="E18" s="4" t="s">
        <v>56</v>
      </c>
      <c r="F18" t="s">
        <v>76</v>
      </c>
      <c r="G18" s="9" cm="1" t="str">
        <f t="array" ref="G18">IF(F18="","",SUBSTITUTE(SUBSTITUTE(SUBSTITUTE(SUBSTITUTE(F18,"&lt;li&gt;",CHAR(10)),"&lt;/li&gt;",""),"&lt;br&gt;",CHAR(10)),"&lt;strong&gt;",""))</f>
        <v>&lt;p&gt;Aucune activité ou échange récent enregistré sur EMERAUDE CAPITAL. Groupe détenu partiellement par Abenex (LBO), stratégie de croissance par rachats, 6 acquisitions depuis septembre, 1,3 Md€ sous gestion, ticket moyen 350k, 10-15% PE dans portefeuilles, intérêt potentiel pour 150 OB ter.&lt;/p&gt;</v>
      </c>
      <c r="H18" s="9" cm="1" t="str">
        <f t="array" ref="H18">IF(G18="","",SUBSTITUTE(SUBSTITUTE(SUBSTITUTE(SUBSTITUTE(SUBSTITUTE(G18,"&lt;p&gt;",""),"&lt;/p&gt;",""),"&lt;ul&gt;",""),"&lt;/ul&gt;",""),"&lt;/strong&gt;",""))</f>
        <v>Aucune activité ou échange récent enregistré sur EMERAUDE CAPITAL. Groupe détenu partiellement par Abenex (LBO), stratégie de croissance par rachats, 6 acquisitions depuis septembre, 1,3 Md€ sous gestion, ticket moyen 350k, 10-15% PE dans portefeuilles, intérêt potentiel pour 150 OB ter.</v>
      </c>
      <c r="I18" s="9" cm="1" t="str">
        <f t="array" ref="I18">IF(C18="","",IF(OR(H18="",H18=0,H18=FALSE),"-",H18))</f>
        <v>Aucune activité ou échange récent enregistré sur EMERAUDE CAPITAL. Groupe détenu partiellement par Abenex (LBO), stratégie de croissance par rachats, 6 acquisitions depuis septembre, 1,3 Md€ sous gestion, ticket moyen 350k, 10-15% PE dans portefeuilles, intérêt potentiel pour 150 OB ter.</v>
      </c>
      <c r="J18" t="s">
        <v>77</v>
      </c>
      <c r="K18" s="4" t="s">
        <v>59</v>
      </c>
      <c r="L18" s="4" cm="1" t="str">
        <f t="array" ref="L18">IF(C18="","",IF(K18="Mort / Plus rien à faire","KO","OK"))</f>
        <v>OK</v>
      </c>
      <c r="M18" s="10">
        <v>46085.678877314815</v>
      </c>
      <c r="N18" s="10" cm="1" t="n">
        <f t="array" ref="N18">IF(OR(C18="",M18="",M18=0),"",M18)</f>
        <v>46085.678877314815</v>
      </c>
      <c r="O18" s="10">
        <v>46091.041666666664</v>
      </c>
      <c r="P18" s="10" cm="1" t="n">
        <f t="array" ref="P18">IF(C18="","",IF(OR(O18="",O18=0),"-",O18))</f>
        <v>46091.041666666664</v>
      </c>
      <c r="Q18" s="11">
        <v>0</v>
      </c>
      <c r="R18" s="4" cm="1" t="str">
        <f t="array" ref="R18">IF(C18="","",ROUND(Q18/1000000,3)&amp;" M€")</f>
        <v>0 M€</v>
      </c>
      <c r="S18" s="12">
        <v>30</v>
      </c>
      <c r="T18" s="4" cm="1" t="str">
        <f t="array" ref="T18">IF(C18="","",SUBSTITUTE(S18,"","")&amp;"%")</f>
        <v>30%</v>
      </c>
      <c r="U18" s="4" cm="1" t="str">
        <f t="array" ref="U18">IF(($N18="")*($P18=""),"",IF(($N18&lt;&gt;"")*($N18&gt;TODAY()-9)*($N18&lt;TODAY()+1)*($P18&lt;&gt;"")*($P18&gt;=TODAY())*($P18&lt;=TODAY()+13),"Semaine passée &amp; à venir",IF(($N18&lt;&gt;"")*($N18&gt;TODAY()-9)*($N18&lt;TODAY()+1),"Semaine passée",IF(($P18&lt;&gt;"")*($P18&gt;=TODAY())*($P18&lt;=TODAY()+13),"À venir","Autre"))))</f>
        <v>Semaine passée &amp; à venir</v>
      </c>
      <c r="V18" cm="1" t="n">
        <f t="array" ref="V18">IF(C18&lt;&gt;"",1,0)</f>
        <v>1</v>
      </c>
    </row>
    <row r="19" ht="78.75" customHeight="1">
      <c r="A19" s="4" t="s">
        <v>23</v>
      </c>
      <c r="B19" s="4" t="s">
        <v>24</v>
      </c>
      <c r="C19" s="8" t="s">
        <v>78</v>
      </c>
      <c r="D19" s="8" t="s">
        <v>78</v>
      </c>
      <c r="E19" s="4" t="s">
        <v>26</v>
      </c>
      <c r="F19" t="s">
        <v>79</v>
      </c>
      <c r="G19" s="9" cm="1" t="str">
        <f t="array" ref="G19">IF(F19="","",SUBSTITUTE(SUBSTITUTE(SUBSTITUTE(SUBSTITUTE(F19,"&lt;li&gt;",CHAR(10)),"&lt;/li&gt;",""),"&lt;br&gt;",CHAR(10)),"&lt;strong&gt;",""))</f>
        <v>&lt;p&gt;Chasse pure 26/02/2026, cible HNWI ayant vendu société d'aide à la personne (20M€). Docs envoyés, prospect envisage 100K pour tester. Appel terminé, attente de retour. Lead créé pour équipe Ventes. Pas d'autres actions ou retours prospect sur fonds à ce jour.&lt;/p&gt;</v>
      </c>
      <c r="H19" s="9" cm="1" t="str">
        <f t="array" ref="H19">IF(G19="","",SUBSTITUTE(SUBSTITUTE(SUBSTITUTE(SUBSTITUTE(SUBSTITUTE(G19,"&lt;p&gt;",""),"&lt;/p&gt;",""),"&lt;ul&gt;",""),"&lt;/ul&gt;",""),"&lt;/strong&gt;",""))</f>
        <v>Chasse pure 26/02/2026, cible HNWI ayant vendu société d'aide à la personne (20M€). Docs envoyés, prospect envisage 100K pour tester. Appel terminé, attente de retour. Lead créé pour équipe Ventes. Pas d'autres actions ou retours prospect sur fonds à ce jour.</v>
      </c>
      <c r="I19" s="9" cm="1" t="str">
        <f t="array" ref="I19">IF(C19="","",IF(OR(H19="",H19=0,H19=FALSE),"-",H19))</f>
        <v>Chasse pure 26/02/2026, cible HNWI ayant vendu société d'aide à la personne (20M€). Docs envoyés, prospect envisage 100K pour tester. Appel terminé, attente de retour. Lead créé pour équipe Ventes. Pas d'autres actions ou retours prospect sur fonds à ce jour.</v>
      </c>
      <c r="J19">
</c>
      <c r="K19" s="4" t="s">
        <v>44</v>
      </c>
      <c r="L19" s="4" cm="1" t="str">
        <f t="array" ref="L19">IF(C19="","",IF(K19="Mort / Plus rien à faire","KO","OK"))</f>
        <v>OK</v>
      </c>
      <c r="M19" s="10">
        <v>46087.707037037035</v>
      </c>
      <c r="N19" s="10" cm="1" t="n">
        <f t="array" ref="N19">IF(OR(C19="",M19="",M19=0),"",M19)</f>
        <v>46087.707037037035</v>
      </c>
      <c r="O19" s="10">
        <v>46086.041666666664</v>
      </c>
      <c r="P19" s="10" cm="1" t="n">
        <f t="array" ref="P19">IF(C19="","",IF(OR(O19="",O19=0),"-",O19))</f>
        <v>46086.041666666664</v>
      </c>
      <c r="Q19" s="11">
        <v>100000</v>
      </c>
      <c r="R19" s="4" cm="1" t="str">
        <f t="array" ref="R19">IF(C19="","",ROUND(Q19/1000000,3)&amp;" M€")</f>
        <v>0.1 M€</v>
      </c>
      <c r="S19" s="12">
        <v>30</v>
      </c>
      <c r="T19" s="4" cm="1" t="str">
        <f t="array" ref="T19">IF(C19="","",SUBSTITUTE(S19,"","")&amp;"%")</f>
        <v>30%</v>
      </c>
      <c r="U19" s="4" cm="1" t="str">
        <f t="array" ref="U19">IF(($N19="")*($P19=""),"",IF(($N19&lt;&gt;"")*($N19&gt;TODAY()-9)*($N19&lt;TODAY()+1)*($P19&lt;&gt;"")*($P19&gt;=TODAY())*($P19&lt;=TODAY()+13),"Semaine passée &amp; à venir",IF(($N19&lt;&gt;"")*($N19&gt;TODAY()-9)*($N19&lt;TODAY()+1),"Semaine passée",IF(($P19&lt;&gt;"")*($P19&gt;=TODAY())*($P19&lt;=TODAY()+13),"À venir","Autre"))))</f>
        <v>Semaine passée</v>
      </c>
      <c r="V19" cm="1" t="n">
        <f t="array" ref="V19">IF(C19&lt;&gt;"",1,0)</f>
        <v>1</v>
      </c>
    </row>
    <row r="20" ht="78.75" customHeight="1">
      <c r="A20" s="4" t="s">
        <v>23</v>
      </c>
      <c r="B20" s="4" t="s">
        <v>31</v>
      </c>
      <c r="C20" s="8" t="s">
        <v>80</v>
      </c>
      <c r="D20" s="8" t="s">
        <v>81</v>
      </c>
      <c r="E20" s="4" t="s">
        <v>26</v>
      </c>
      <c r="F20" t="s">
        <v>82</v>
      </c>
      <c r="G20" s="9" cm="1" t="str">
        <f t="array" ref="G20">IF(F20="","",SUBSTITUTE(SUBSTITUTE(SUBSTITUTE(SUBSTITUTE(F20,"&lt;li&gt;",CHAR(10)),"&lt;/li&gt;",""),"&lt;br&gt;",CHAR(10)),"&lt;strong&gt;",""))</f>
        <v>&lt;p&gt;04/02 : info actus et ak transmises, clients potentiellement intéressés, attente confirmation. Enrichissement lead impossible (email non valide). Nouvelle piste créée pour équipe Ventes. Pas d'autres actions ou retours prospects à ce stade, prochaine étape : retour client attendu.&lt;/p&gt;</v>
      </c>
      <c r="H20" s="9" cm="1" t="str">
        <f t="array" ref="H20">IF(G20="","",SUBSTITUTE(SUBSTITUTE(SUBSTITUTE(SUBSTITUTE(SUBSTITUTE(G20,"&lt;p&gt;",""),"&lt;/p&gt;",""),"&lt;ul&gt;",""),"&lt;/ul&gt;",""),"&lt;/strong&gt;",""))</f>
        <v>04/02 : info actus et ak transmises, clients potentiellement intéressés, attente confirmation. Enrichissement lead impossible (email non valide). Nouvelle piste créée pour équipe Ventes. Pas d'autres actions ou retours prospects à ce stade, prochaine étape : retour client attendu.</v>
      </c>
      <c r="I20" s="9" cm="1" t="str">
        <f t="array" ref="I20">IF(C20="","",IF(OR(H20="",H20=0,H20=FALSE),"-",H20))</f>
        <v>04/02 : info actus et ak transmises, clients potentiellement intéressés, attente confirmation. Enrichissement lead impossible (email non valide). Nouvelle piste créée pour équipe Ventes. Pas d'autres actions ou retours prospects à ce stade, prochaine étape : retour client attendu.</v>
      </c>
      <c r="J20">
</c>
      <c r="K20" s="4" t="s">
        <v>53</v>
      </c>
      <c r="L20" s="4" cm="1" t="str">
        <f t="array" ref="L20">IF(C20="","",IF(K20="Mort / Plus rien à faire","KO","OK"))</f>
        <v>OK</v>
      </c>
      <c r="M20" s="10">
        <v>46063.51189814815</v>
      </c>
      <c r="N20" s="10" cm="1" t="n">
        <f t="array" ref="N20">IF(OR(C20="",M20="",M20=0),"",M20)</f>
        <v>46063.51189814815</v>
      </c>
      <c r="O20" s="10">
</c>
      <c r="P20" s="10" cm="1" t="str">
        <f t="array" ref="P20">IF(C20="","",IF(OR(O20="",O20=0),"-",O20))</f>
        <v>-</v>
      </c>
      <c r="Q20" s="11">
        <v>100000</v>
      </c>
      <c r="R20" s="4" cm="1" t="str">
        <f t="array" ref="R20">IF(C20="","",ROUND(Q20/1000000,3)&amp;" M€")</f>
        <v>0.1 M€</v>
      </c>
      <c r="S20" s="12">
        <v>20</v>
      </c>
      <c r="T20" s="4" cm="1" t="str">
        <f t="array" ref="T20">IF(C20="","",SUBSTITUTE(S20,"","")&amp;"%")</f>
        <v>20%</v>
      </c>
      <c r="U20" s="4" cm="1" t="str">
        <f t="array" ref="U20">IF(($N20="")*($P20=""),"",IF(($N20&lt;&gt;"")*($N20&gt;TODAY()-9)*($N20&lt;TODAY()+1)*($P20&lt;&gt;"")*($P20&gt;=TODAY())*($P20&lt;=TODAY()+13),"Semaine passée &amp; à venir",IF(($N20&lt;&gt;"")*($N20&gt;TODAY()-9)*($N20&lt;TODAY()+1),"Semaine passée",IF(($P20&lt;&gt;"")*($P20&gt;=TODAY())*($P20&lt;=TODAY()+13),"À venir","Autre"))))</f>
        <v>Autre</v>
      </c>
      <c r="V20" cm="1" t="n">
        <f t="array" ref="V20">IF(C20&lt;&gt;"",1,0)</f>
        <v>1</v>
      </c>
    </row>
    <row r="21" ht="78.75" customHeight="1">
      <c r="A21" s="4" t="s">
        <v>23</v>
      </c>
      <c r="B21" s="4" t="s">
        <v>83</v>
      </c>
      <c r="C21" s="8" t="s">
        <v>84</v>
      </c>
      <c r="D21" s="8" t="s">
        <v>85</v>
      </c>
      <c r="E21" s="4" t="s">
        <v>26</v>
      </c>
      <c r="F21" t="s">
        <v>86</v>
      </c>
      <c r="G21" s="9" cm="1" t="str">
        <f t="array" ref="G21">IF(F21="","",SUBSTITUTE(SUBSTITUTE(SUBSTITUTE(SUBSTITUTE(F21,"&lt;li&gt;",CHAR(10)),"&lt;/li&gt;",""),"&lt;br&gt;",CHAR(10)),"&lt;strong&gt;",""))</f>
        <v>&lt;p&gt;05/02/2026 : Infos transmises, clients potentiellement intéressés, attente confirmation pour fixer rencontre avec Charles. Enrichissement lead impossible (email non valide). Nouvelle piste créée équipe Ventes. Prochaine étape : attente retour client pour RDV.&lt;/p&gt;</v>
      </c>
      <c r="H21" s="9" cm="1" t="str">
        <f t="array" ref="H21">IF(G21="","",SUBSTITUTE(SUBSTITUTE(SUBSTITUTE(SUBSTITUTE(SUBSTITUTE(G21,"&lt;p&gt;",""),"&lt;/p&gt;",""),"&lt;ul&gt;",""),"&lt;/ul&gt;",""),"&lt;/strong&gt;",""))</f>
        <v>05/02/2026 : Infos transmises, clients potentiellement intéressés, attente confirmation pour fixer rencontre avec Charles. Enrichissement lead impossible (email non valide). Nouvelle piste créée équipe Ventes. Prochaine étape : attente retour client pour RDV.</v>
      </c>
      <c r="I21" s="9" cm="1" t="str">
        <f t="array" ref="I21">IF(C21="","",IF(OR(H21="",H21=0,H21=FALSE),"-",H21))</f>
        <v>05/02/2026 : Infos transmises, clients potentiellement intéressés, attente confirmation pour fixer rencontre avec Charles. Enrichissement lead impossible (email non valide). Nouvelle piste créée équipe Ventes. Prochaine étape : attente retour client pour RDV.</v>
      </c>
      <c r="J21">
</c>
      <c r="K21" s="4" t="s">
        <v>44</v>
      </c>
      <c r="L21" s="4" cm="1" t="str">
        <f t="array" ref="L21">IF(C21="","",IF(K21="Mort / Plus rien à faire","KO","OK"))</f>
        <v>OK</v>
      </c>
      <c r="M21" s="10">
        <v>46063.515023148146</v>
      </c>
      <c r="N21" s="10" cm="1" t="n">
        <f t="array" ref="N21">IF(OR(C21="",M21="",M21=0),"",M21)</f>
        <v>46063.515023148146</v>
      </c>
      <c r="O21" s="10">
</c>
      <c r="P21" s="10" cm="1" t="str">
        <f t="array" ref="P21">IF(C21="","",IF(OR(O21="",O21=0),"-",O21))</f>
        <v>-</v>
      </c>
      <c r="Q21" s="11">
        <v>0</v>
      </c>
      <c r="R21" s="4" cm="1" t="str">
        <f t="array" ref="R21">IF(C21="","",ROUND(Q21/1000000,3)&amp;" M€")</f>
        <v>0 M€</v>
      </c>
      <c r="S21" s="12">
        <v>20</v>
      </c>
      <c r="T21" s="4" cm="1" t="str">
        <f t="array" ref="T21">IF(C21="","",SUBSTITUTE(S21,"","")&amp;"%")</f>
        <v>20%</v>
      </c>
      <c r="U21" s="4" cm="1" t="str">
        <f t="array" ref="U21">IF(($N21="")*($P21=""),"",IF(($N21&lt;&gt;"")*($N21&gt;TODAY()-9)*($N21&lt;TODAY()+1)*($P21&lt;&gt;"")*($P21&gt;=TODAY())*($P21&lt;=TODAY()+13),"Semaine passée &amp; à venir",IF(($N21&lt;&gt;"")*($N21&gt;TODAY()-9)*($N21&lt;TODAY()+1),"Semaine passée",IF(($P21&lt;&gt;"")*($P21&gt;=TODAY())*($P21&lt;=TODAY()+13),"À venir","Autre"))))</f>
        <v>Autre</v>
      </c>
      <c r="V21" cm="1" t="n">
        <f t="array" ref="V21">IF(C21&lt;&gt;"",1,0)</f>
        <v>1</v>
      </c>
    </row>
    <row r="22" ht="78.75" customHeight="1">
      <c r="A22" s="4" t="s">
        <v>23</v>
      </c>
      <c r="B22" s="4" t="s">
        <v>38</v>
      </c>
      <c r="C22" s="8" t="s">
        <v>87</v>
      </c>
      <c r="D22" s="8" t="s">
        <v>88</v>
      </c>
      <c r="E22" s="4" t="s">
        <v>26</v>
      </c>
      <c r="F22" t="s">
        <v>89</v>
      </c>
      <c r="G22" s="9" cm="1" t="str">
        <f t="array" ref="G22">IF(F22="","",SUBSTITUTE(SUBSTITUTE(SUBSTITUTE(SUBSTITUTE(F22,"&lt;li&gt;",CHAR(10)),"&lt;/li&gt;",""),"&lt;br&gt;",CHAR(10)),"&lt;strong&gt;",""))</f>
        <v>&lt;p&gt;03/02/2026: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interactions.&lt;/p&gt;</v>
      </c>
      <c r="H22" s="9" cm="1" t="str">
        <f t="array" ref="H22">IF(G22="","",SUBSTITUTE(SUBSTITUTE(SUBSTITUTE(SUBSTITUTE(SUBSTITUTE(G22,"&lt;p&gt;",""),"&lt;/p&gt;",""),"&lt;ul&gt;",""),"&lt;/ul&gt;",""),"&lt;/strong&gt;",""))</f>
        <v>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v>
      </c>
      <c r="I22" s="9" cm="1" t="str">
        <f t="array" ref="I22">IF(C22="","",IF(OR(H22="",H22=0,H22=FALSE),"-",H22))</f>
        <v>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v>
      </c>
      <c r="J22">
</c>
      <c r="K22" s="4" t="s">
        <v>44</v>
      </c>
      <c r="L22" s="4" cm="1" t="str">
        <f t="array" ref="L22">IF(C22="","",IF(K22="Mort / Plus rien à faire","KO","OK"))</f>
        <v>OK</v>
      </c>
      <c r="M22" s="10">
        <v>46069.51399305555</v>
      </c>
      <c r="N22" s="10" cm="1" t="n">
        <f t="array" ref="N22">IF(OR(C22="",M22="",M22=0),"",M22)</f>
        <v>46069.51399305555</v>
      </c>
      <c r="O22" s="10">
</c>
      <c r="P22" s="10" cm="1" t="str">
        <f t="array" ref="P22">IF(C22="","",IF(OR(O22="",O22=0),"-",O22))</f>
        <v>-</v>
      </c>
      <c r="Q22" s="11">
        <v>0</v>
      </c>
      <c r="R22" s="4" cm="1" t="str">
        <f t="array" ref="R22">IF(C22="","",ROUND(Q22/1000000,3)&amp;" M€")</f>
        <v>0 M€</v>
      </c>
      <c r="S22" s="12">
        <v>20</v>
      </c>
      <c r="T22" s="4" cm="1" t="str">
        <f t="array" ref="T22">IF(C22="","",SUBSTITUTE(S22,"","")&amp;"%")</f>
        <v>20%</v>
      </c>
      <c r="U22" s="4" cm="1" t="str">
        <f t="array" ref="U22">IF(($N22="")*($P22=""),"",IF(($N22&lt;&gt;"")*($N22&gt;TODAY()-9)*($N22&lt;TODAY()+1)*($P22&lt;&gt;"")*($P22&gt;=TODAY())*($P22&lt;=TODAY()+13),"Semaine passée &amp; à venir",IF(($N22&lt;&gt;"")*($N22&gt;TODAY()-9)*($N22&lt;TODAY()+1),"Semaine passée",IF(($P22&lt;&gt;"")*($P22&gt;=TODAY())*($P22&lt;=TODAY()+13),"À venir","Autre"))))</f>
        <v>Autre</v>
      </c>
      <c r="V22" cm="1" t="n">
        <f t="array" ref="V22">IF(C22&lt;&gt;"",1,0)</f>
        <v>1</v>
      </c>
    </row>
    <row r="23" ht="78.75" customHeight="1">
      <c r="A23" s="4" t="s">
        <v>23</v>
      </c>
      <c r="B23" s="4" t="s">
        <v>31</v>
      </c>
      <c r="C23" s="8" t="s">
        <v>90</v>
      </c>
      <c r="D23" s="8" t="s">
        <v>91</v>
      </c>
      <c r="E23" s="4" t="s">
        <v>26</v>
      </c>
      <c r="F23" t="s">
        <v>92</v>
      </c>
      <c r="G23" s="9" cm="1" t="str">
        <f t="array" ref="G23">IF(F23="","",SUBSTITUTE(SUBSTITUTE(SUBSTITUTE(SUBSTITUTE(F23,"&lt;li&gt;",CHAR(10)),"&lt;/li&gt;",""),"&lt;br&gt;",CHAR(10)),"&lt;strong&gt;",""))</f>
        <v>&lt;p&gt;09/02 point PTF C2 avec Thomas. Lead créé pour équipe Ventes. Tentative d'enrichissement échouée (email invalide). Aucune activité ou action complémentaire enregistrée, prochaines étapes non précisées. Pas de retour prospect ni de conclusion sur fonds présentés.&lt;/p&gt;</v>
      </c>
      <c r="H23" s="9" cm="1" t="str">
        <f t="array" ref="H23">IF(G23="","",SUBSTITUTE(SUBSTITUTE(SUBSTITUTE(SUBSTITUTE(SUBSTITUTE(G23,"&lt;p&gt;",""),"&lt;/p&gt;",""),"&lt;ul&gt;",""),"&lt;/ul&gt;",""),"&lt;/strong&gt;",""))</f>
        <v>09/02 point PTF C2 avec Thomas. Lead créé pour équipe Ventes. Tentative d'enrichissement échouée (email invalide). Aucune activité ou action complémentaire enregistrée, prochaines étapes non précisées. Pas de retour prospect ni de conclusion sur fonds présentés.</v>
      </c>
      <c r="I23" s="9" cm="1" t="str">
        <f t="array" ref="I23">IF(C23="","",IF(OR(H23="",H23=0,H23=FALSE),"-",H23))</f>
        <v>09/02 point PTF C2 avec Thomas. Lead créé pour équipe Ventes. Tentative d'enrichissement échouée (email invalide). Aucune activité ou action complémentaire enregistrée, prochaines étapes non précisées. Pas de retour prospect ni de conclusion sur fonds présentés.</v>
      </c>
      <c r="J23">
</c>
      <c r="K23" s="4" t="s">
        <v>44</v>
      </c>
      <c r="L23" s="4" cm="1" t="str">
        <f t="array" ref="L23">IF(C23="","",IF(K23="Mort / Plus rien à faire","KO","OK"))</f>
        <v>OK</v>
      </c>
      <c r="M23" s="10">
        <v>46063.59043981481</v>
      </c>
      <c r="N23" s="10" cm="1" t="n">
        <f t="array" ref="N23">IF(OR(C23="",M23="",M23=0),"",M23)</f>
        <v>46063.59043981481</v>
      </c>
      <c r="O23" s="10">
</c>
      <c r="P23" s="10" cm="1" t="str">
        <f t="array" ref="P23">IF(C23="","",IF(OR(O23="",O23=0),"-",O23))</f>
        <v>-</v>
      </c>
      <c r="Q23" s="11">
        <v>0</v>
      </c>
      <c r="R23" s="4" cm="1" t="str">
        <f t="array" ref="R23">IF(C23="","",ROUND(Q23/1000000,3)&amp;" M€")</f>
        <v>0 M€</v>
      </c>
      <c r="S23" s="12">
        <v>20</v>
      </c>
      <c r="T23" s="4" cm="1" t="str">
        <f t="array" ref="T23">IF(C23="","",SUBSTITUTE(S23,"","")&amp;"%")</f>
        <v>20%</v>
      </c>
      <c r="U23" s="4" cm="1" t="str">
        <f t="array" ref="U23">IF(($N23="")*($P23=""),"",IF(($N23&lt;&gt;"")*($N23&gt;TODAY()-9)*($N23&lt;TODAY()+1)*($P23&lt;&gt;"")*($P23&gt;=TODAY())*($P23&lt;=TODAY()+13),"Semaine passée &amp; à venir",IF(($N23&lt;&gt;"")*($N23&gt;TODAY()-9)*($N23&lt;TODAY()+1),"Semaine passée",IF(($P23&lt;&gt;"")*($P23&gt;=TODAY())*($P23&lt;=TODAY()+13),"À venir","Autre"))))</f>
        <v>Autre</v>
      </c>
      <c r="V23" cm="1" t="n">
        <f t="array" ref="V23">IF(C23&lt;&gt;"",1,0)</f>
        <v>1</v>
      </c>
    </row>
    <row r="24" ht="78.75" customHeight="1">
      <c r="A24" s="4" t="s">
        <v>23</v>
      </c>
      <c r="B24" s="4" t="s">
        <v>68</v>
      </c>
      <c r="C24" s="8" t="s">
        <v>93</v>
      </c>
      <c r="D24" s="8" t="s">
        <v>94</v>
      </c>
      <c r="E24" s="4" t="s">
        <v>50</v>
      </c>
      <c r="F24" t="s">
        <v>95</v>
      </c>
      <c r="G24" s="9" cm="1" t="str">
        <f t="array" ref="G24">IF(F24="","",SUBSTITUTE(SUBSTITUTE(SUBSTITUTE(SUBSTITUTE(F24,"&lt;li&gt;",CHAR(10)),"&lt;/li&gt;",""),"&lt;br&gt;",CHAR(10)),"&lt;strong&gt;",""))</f>
        <v>&lt;p&gt;RDV 20/02 : Présents Agnes Berri, Marc Ramilison. DPI capital clé, 1M€ investis, exit 20M€ best case, pas d'équalisation ni carried, sortie possible, intérêt pour tech, poursuite analyse Deck/Docs. En attente retour suite envoi documents et réponses questions. Prochaine étape : retour prospect avant 13/03.&lt;/p&gt;</v>
      </c>
      <c r="H24" s="9" cm="1" t="str">
        <f t="array" ref="H24">IF(G24="","",SUBSTITUTE(SUBSTITUTE(SUBSTITUTE(SUBSTITUTE(SUBSTITUTE(G24,"&lt;p&gt;",""),"&lt;/p&gt;",""),"&lt;ul&gt;",""),"&lt;/ul&gt;",""),"&lt;/strong&gt;",""))</f>
        <v>RDV 20/02 : Présents Agnes Berri, Marc Ramilison. DPI capital clé, 1M€ investis, exit 20M€ best case, pas d'équalisation ni carried, sortie possible, intérêt pour tech, poursuite analyse Deck/Docs. En attente retour suite envoi documents et réponses questions. Prochaine étape : retour prospect avant 13/03.</v>
      </c>
      <c r="I24" s="9" cm="1" t="str">
        <f t="array" ref="I24">IF(C24="","",IF(OR(H24="",H24=0,H24=FALSE),"-",H24))</f>
        <v>RDV 20/02 : Présents Agnes Berri, Marc Ramilison. DPI capital clé, 1M€ investis, exit 20M€ best case, pas d'équalisation ni carried, sortie possible, intérêt pour tech, poursuite analyse Deck/Docs. En attente retour suite envoi documents et réponses questions. Prochaine étape : retour prospect avant 13/03.</v>
      </c>
      <c r="J24" t="s">
        <v>96</v>
      </c>
      <c r="K24" s="4" t="s">
        <v>44</v>
      </c>
      <c r="L24" s="4" cm="1" t="str">
        <f t="array" ref="L24">IF(C24="","",IF(K24="Mort / Plus rien à faire","KO","OK"))</f>
        <v>OK</v>
      </c>
      <c r="M24" s="10">
        <v>46085.645891203705</v>
      </c>
      <c r="N24" s="10" cm="1" t="n">
        <f t="array" ref="N24">IF(OR(C24="",M24="",M24=0),"",M24)</f>
        <v>46085.645891203705</v>
      </c>
      <c r="O24" s="10">
        <v>46094.041666666664</v>
      </c>
      <c r="P24" s="10" cm="1" t="n">
        <f t="array" ref="P24">IF(C24="","",IF(OR(O24="",O24=0),"-",O24))</f>
        <v>46094.041666666664</v>
      </c>
      <c r="Q24" s="11">
        <v>0</v>
      </c>
      <c r="R24" s="4" cm="1" t="str">
        <f t="array" ref="R24">IF(C24="","",ROUND(Q24/1000000,3)&amp;" M€")</f>
        <v>0 M€</v>
      </c>
      <c r="S24" s="12">
        <v>20</v>
      </c>
      <c r="T24" s="4" cm="1" t="str">
        <f t="array" ref="T24">IF(C24="","",SUBSTITUTE(S24,"","")&amp;"%")</f>
        <v>20%</v>
      </c>
      <c r="U24" s="4" cm="1" t="str">
        <f t="array" ref="U24">IF(($N24="")*($P24=""),"",IF(($N24&lt;&gt;"")*($N24&gt;TODAY()-9)*($N24&lt;TODAY()+1)*($P24&lt;&gt;"")*($P24&gt;=TODAY())*($P24&lt;=TODAY()+13),"Semaine passée &amp; à venir",IF(($N24&lt;&gt;"")*($N24&gt;TODAY()-9)*($N24&lt;TODAY()+1),"Semaine passée",IF(($P24&lt;&gt;"")*($P24&gt;=TODAY())*($P24&lt;=TODAY()+13),"À venir","Autre"))))</f>
        <v>Semaine passée &amp; à venir</v>
      </c>
      <c r="V24" cm="1" t="n">
        <f t="array" ref="V24">IF(C24&lt;&gt;"",1,0)</f>
        <v>1</v>
      </c>
    </row>
    <row r="25" ht="78.75" customHeight="1">
      <c r="A25" s="4" t="s">
        <v>23</v>
      </c>
      <c r="B25" s="4" t="s">
        <v>38</v>
      </c>
      <c r="C25" s="8" t="s">
        <v>97</v>
      </c>
      <c r="D25" s="8" t="s">
        <v>98</v>
      </c>
      <c r="E25" s="4" t="s">
        <v>26</v>
      </c>
      <c r="F25" t="s">
        <v>99</v>
      </c>
      <c r="G25" s="9" cm="1" t="str">
        <f t="array" ref="G25">IF(F25="","",SUBSTITUTE(SUBSTITUTE(SUBSTITUTE(SUBSTITUTE(F25,"&lt;li&gt;",CHAR(10)),"&lt;/li&gt;",""),"&lt;br&gt;",CHAR(10)),"&lt;strong&gt;",""))</f>
        <v>&lt;p&gt;05/02/2026: Intérêt fort confirmé pour stratégies diversification/remploi. Partenariat long envisagé, screening complet d'Audacia avant signature. Accord de partenariat pour fonds remploi, préparation conditions financières/rémunération en cours. Pas d'autres actions récentes ni prochaines étapes identifiées.&lt;/p&gt;</v>
      </c>
      <c r="H25" s="9" cm="1" t="str">
        <f t="array" ref="H25">IF(G25="","",SUBSTITUTE(SUBSTITUTE(SUBSTITUTE(SUBSTITUTE(SUBSTITUTE(G25,"&lt;p&gt;",""),"&lt;/p&gt;",""),"&lt;ul&gt;",""),"&lt;/ul&gt;",""),"&lt;/strong&gt;",""))</f>
        <v>05/02/2026: Intérêt fort confirmé pour stratégies diversification/remploi. Partenariat long envisagé, screening complet d'Audacia avant signature. Accord de partenariat pour fonds remploi, préparation conditions financières/rémunération en cours. Pas d'autres actions récentes ni prochaines étapes identifiées.</v>
      </c>
      <c r="I25" s="9" cm="1" t="str">
        <f t="array" ref="I25">IF(C25="","",IF(OR(H25="",H25=0,H25=FALSE),"-",H25))</f>
        <v>05/02/2026: Intérêt fort confirmé pour stratégies diversification/remploi. Partenariat long envisagé, screening complet d'Audacia avant signature. Accord de partenariat pour fonds remploi, préparation conditions financières/rémunération en cours. Pas d'autres actions récentes ni prochaines étapes identifiées.</v>
      </c>
      <c r="J25">
</c>
      <c r="K25" s="4" t="s">
        <v>44</v>
      </c>
      <c r="L25" s="4" cm="1" t="str">
        <f t="array" ref="L25">IF(C25="","",IF(K25="Mort / Plus rien à faire","KO","OK"))</f>
        <v>OK</v>
      </c>
      <c r="M25" s="10">
        <v>46063.520902777775</v>
      </c>
      <c r="N25" s="10" cm="1" t="n">
        <f t="array" ref="N25">IF(OR(C25="",M25="",M25=0),"",M25)</f>
        <v>46063.520902777775</v>
      </c>
      <c r="O25" s="10">
</c>
      <c r="P25" s="10" cm="1" t="str">
        <f t="array" ref="P25">IF(C25="","",IF(OR(O25="",O25=0),"-",O25))</f>
        <v>-</v>
      </c>
      <c r="Q25" s="11">
        <v>0</v>
      </c>
      <c r="R25" s="4" cm="1" t="str">
        <f t="array" ref="R25">IF(C25="","",ROUND(Q25/1000000,3)&amp;" M€")</f>
        <v>0 M€</v>
      </c>
      <c r="S25" s="12">
        <v>20</v>
      </c>
      <c r="T25" s="4" cm="1" t="str">
        <f t="array" ref="T25">IF(C25="","",SUBSTITUTE(S25,"","")&amp;"%")</f>
        <v>20%</v>
      </c>
      <c r="U25" s="4" cm="1" t="str">
        <f t="array" ref="U25">IF(($N25="")*($P25=""),"",IF(($N25&lt;&gt;"")*($N25&gt;TODAY()-9)*($N25&lt;TODAY()+1)*($P25&lt;&gt;"")*($P25&gt;=TODAY())*($P25&lt;=TODAY()+13),"Semaine passée &amp; à venir",IF(($N25&lt;&gt;"")*($N25&gt;TODAY()-9)*($N25&lt;TODAY()+1),"Semaine passée",IF(($P25&lt;&gt;"")*($P25&gt;=TODAY())*($P25&lt;=TODAY()+13),"À venir","Autre"))))</f>
        <v>Autre</v>
      </c>
      <c r="V25" cm="1" t="n">
        <f t="array" ref="V25">IF(C25&lt;&gt;"",1,0)</f>
        <v>1</v>
      </c>
    </row>
    <row r="26" ht="78.75" customHeight="1">
      <c r="A26" s="4" t="s">
        <v>23</v>
      </c>
      <c r="B26" s="4" t="s">
        <v>38</v>
      </c>
      <c r="C26" s="8" t="s">
        <v>100</v>
      </c>
      <c r="D26" s="8" t="s">
        <v>101</v>
      </c>
      <c r="E26" s="4" t="s">
        <v>26</v>
      </c>
      <c r="F26" t="s">
        <v>102</v>
      </c>
      <c r="G26" s="9" cm="1" t="str">
        <f t="array" ref="G26">IF(F26="","",SUBSTITUTE(SUBSTITUTE(SUBSTITUTE(SUBSTITUTE(F26,"&lt;li&gt;",CHAR(10)),"&lt;/li&gt;",""),"&lt;br&gt;",CHAR(10)),"&lt;strong&gt;",""))</f>
        <v>&lt;p&gt;04/02 prospect a un client potentiellement intéressé, retour attendu mi-février. Lead enrichissement impossible (email invalide). Nouvelle piste créée pour équipe Ventes. Pas d'autres actions ou retours prospect sur fonds présentés. Prochaine étape : confirmation client mi-février.&lt;/p&gt;</v>
      </c>
      <c r="H26" s="9" cm="1" t="str">
        <f t="array" ref="H26">IF(G26="","",SUBSTITUTE(SUBSTITUTE(SUBSTITUTE(SUBSTITUTE(SUBSTITUTE(G26,"&lt;p&gt;",""),"&lt;/p&gt;",""),"&lt;ul&gt;",""),"&lt;/ul&gt;",""),"&lt;/strong&gt;",""))</f>
        <v>04/02 prospect a un client potentiellement intéressé, retour attendu mi-février. Lead enrichissement impossible (email invalide). Nouvelle piste créée pour équipe Ventes. Pas d'autres actions ou retours prospect sur fonds présentés. Prochaine étape : confirmation client mi-février.</v>
      </c>
      <c r="I26" s="9" cm="1" t="str">
        <f t="array" ref="I26">IF(C26="","",IF(OR(H26="",H26=0,H26=FALSE),"-",H26))</f>
        <v>04/02 prospect a un client potentiellement intéressé, retour attendu mi-février. Lead enrichissement impossible (email invalide). Nouvelle piste créée pour équipe Ventes. Pas d'autres actions ou retours prospect sur fonds présentés. Prochaine étape : confirmation client mi-février.</v>
      </c>
      <c r="J26">
</c>
      <c r="K26" s="4" t="s">
        <v>44</v>
      </c>
      <c r="L26" s="4" cm="1" t="str">
        <f t="array" ref="L26">IF(C26="","",IF(K26="Mort / Plus rien à faire","KO","OK"))</f>
        <v>OK</v>
      </c>
      <c r="M26" s="10">
        <v>46063.50944444445</v>
      </c>
      <c r="N26" s="10" cm="1" t="n">
        <f t="array" ref="N26">IF(OR(C26="",M26="",M26=0),"",M26)</f>
        <v>46063.50944444445</v>
      </c>
      <c r="O26" s="10">
</c>
      <c r="P26" s="10" cm="1" t="str">
        <f t="array" ref="P26">IF(C26="","",IF(OR(O26="",O26=0),"-",O26))</f>
        <v>-</v>
      </c>
      <c r="Q26" s="11">
        <v>100000</v>
      </c>
      <c r="R26" s="4" cm="1" t="str">
        <f t="array" ref="R26">IF(C26="","",ROUND(Q26/1000000,3)&amp;" M€")</f>
        <v>0.1 M€</v>
      </c>
      <c r="S26" s="12">
        <v>20</v>
      </c>
      <c r="T26" s="4" cm="1" t="str">
        <f t="array" ref="T26">IF(C26="","",SUBSTITUTE(S26,"","")&amp;"%")</f>
        <v>20%</v>
      </c>
      <c r="U26" s="4" cm="1" t="str">
        <f t="array" ref="U26">IF(($N26="")*($P26=""),"",IF(($N26&lt;&gt;"")*($N26&gt;TODAY()-9)*($N26&lt;TODAY()+1)*($P26&lt;&gt;"")*($P26&gt;=TODAY())*($P26&lt;=TODAY()+13),"Semaine passée &amp; à venir",IF(($N26&lt;&gt;"")*($N26&gt;TODAY()-9)*($N26&lt;TODAY()+1),"Semaine passée",IF(($P26&lt;&gt;"")*($P26&gt;=TODAY())*($P26&lt;=TODAY()+13),"À venir","Autre"))))</f>
        <v>Autre</v>
      </c>
      <c r="V26" cm="1" t="n">
        <f t="array" ref="V26">IF(C26&lt;&gt;"",1,0)</f>
        <v>1</v>
      </c>
    </row>
    <row r="27" ht="78.75" customHeight="1">
      <c r="A27" s="4" t="s">
        <v>23</v>
      </c>
      <c r="B27" s="4" t="s">
        <v>103</v>
      </c>
      <c r="C27" s="8" t="s">
        <v>104</v>
      </c>
      <c r="D27" s="8" t="s">
        <v>105</v>
      </c>
      <c r="E27" s="4" t="s">
        <v>26</v>
      </c>
      <c r="F27">
</c>
      <c r="G27" s="9" cm="1" t="str">
        <f t="array" ref="G27">IF(F27="","",SUBSTITUTE(SUBSTITUTE(SUBSTITUTE(SUBSTITUTE(F27,"&lt;li&gt;",CHAR(10)),"&lt;/li&gt;",""),"&lt;br&gt;",CHAR(10)),"&lt;strong&gt;",""))</f>
        <v/>
      </c>
      <c r="H27" s="9" cm="1" t="str">
        <f t="array" ref="H27">IF(G27="","",SUBSTITUTE(SUBSTITUTE(SUBSTITUTE(SUBSTITUTE(SUBSTITUTE(G27,"&lt;p&gt;",""),"&lt;/p&gt;",""),"&lt;ul&gt;",""),"&lt;/ul&gt;",""),"&lt;/strong&gt;",""))</f>
        <v/>
      </c>
      <c r="I27" s="9" cm="1" t="str">
        <f t="array" ref="I27">IF(C27="","",IF(OR(H27="",H27=0,H27=FALSE),"-",H27))</f>
        <v>-</v>
      </c>
      <c r="J27" t="s">
        <v>106</v>
      </c>
      <c r="K27" s="4" t="s">
        <v>44</v>
      </c>
      <c r="L27" s="4" cm="1" t="str">
        <f t="array" ref="L27">IF(C27="","",IF(K27="Mort / Plus rien à faire","KO","OK"))</f>
        <v>OK</v>
      </c>
      <c r="M27" s="10">
        <v>46063.473020833335</v>
      </c>
      <c r="N27" s="10" cm="1" t="n">
        <f t="array" ref="N27">IF(OR(C27="",M27="",M27=0),"",M27)</f>
        <v>46063.473020833335</v>
      </c>
      <c r="O27" s="10">
</c>
      <c r="P27" s="10" cm="1" t="str">
        <f t="array" ref="P27">IF(C27="","",IF(OR(O27="",O27=0),"-",O27))</f>
        <v>-</v>
      </c>
      <c r="Q27" s="11">
        <v>0</v>
      </c>
      <c r="R27" s="4" cm="1" t="str">
        <f t="array" ref="R27">IF(C27="","",ROUND(Q27/1000000,3)&amp;" M€")</f>
        <v>0 M€</v>
      </c>
      <c r="S27" s="12">
        <v>10</v>
      </c>
      <c r="T27" s="4" cm="1" t="str">
        <f t="array" ref="T27">IF(C27="","",SUBSTITUTE(S27,"","")&amp;"%")</f>
        <v>10%</v>
      </c>
      <c r="U27" s="4" cm="1" t="str">
        <f t="array" ref="U27">IF(($N27="")*($P27=""),"",IF(($N27&lt;&gt;"")*($N27&gt;TODAY()-9)*($N27&lt;TODAY()+1)*($P27&lt;&gt;"")*($P27&gt;=TODAY())*($P27&lt;=TODAY()+13),"Semaine passée &amp; à venir",IF(($N27&lt;&gt;"")*($N27&gt;TODAY()-9)*($N27&lt;TODAY()+1),"Semaine passée",IF(($P27&lt;&gt;"")*($P27&gt;=TODAY())*($P27&lt;=TODAY()+13),"À venir","Autre"))))</f>
        <v>Autre</v>
      </c>
      <c r="V27" cm="1" t="n">
        <f t="array" ref="V27">IF(C27&lt;&gt;"",1,0)</f>
        <v>1</v>
      </c>
    </row>
    <row r="28" ht="78.75" customHeight="1">
      <c r="A28" s="4" t="s">
        <v>23</v>
      </c>
      <c r="B28" s="4" t="s">
        <v>83</v>
      </c>
      <c r="C28" s="8" t="s">
        <v>107</v>
      </c>
      <c r="D28" s="8" t="s">
        <v>108</v>
      </c>
      <c r="E28" s="4" t="s">
        <v>26</v>
      </c>
      <c r="F28" t="s">
        <v>109</v>
      </c>
      <c r="G28" s="9" cm="1" t="str">
        <f t="array" ref="G28">IF(F28="","",SUBSTITUTE(SUBSTITUTE(SUBSTITUTE(SUBSTITUTE(F28,"&lt;li&gt;",CHAR(10)),"&lt;/li&gt;",""),"&lt;br&gt;",CHAR(10)),"&lt;strong&gt;",""))</f>
        <v>&lt;p&gt;05/02/2026: Prospect intéressé par nos solutions de diversification, peu de dossiers de remploi identifiés. Prochaine étape : trouver des dates avec Charles pour avancer. Enrichissement lead impossible (email invalide). Nouvelle piste créée pour équipe Ventes. Pas d'autres actions notables.&lt;/p&gt;</v>
      </c>
      <c r="H28" s="9" cm="1" t="str">
        <f t="array" ref="H28">IF(G28="","",SUBSTITUTE(SUBSTITUTE(SUBSTITUTE(SUBSTITUTE(SUBSTITUTE(G28,"&lt;p&gt;",""),"&lt;/p&gt;",""),"&lt;ul&gt;",""),"&lt;/ul&gt;",""),"&lt;/strong&gt;",""))</f>
        <v>05/02/2026: Prospect intéressé par nos solutions de diversification, peu de dossiers de remploi identifiés. Prochaine étape : trouver des dates avec Charles pour avancer. Enrichissement lead impossible (email invalide). Nouvelle piste créée pour équipe Ventes. Pas d'autres actions notables.</v>
      </c>
      <c r="I28" s="9" cm="1" t="str">
        <f t="array" ref="I28">IF(C28="","",IF(OR(H28="",H28=0,H28=FALSE),"-",H28))</f>
        <v>05/02/2026: Prospect intéressé par nos solutions de diversification, peu de dossiers de remploi identifiés. Prochaine étape : trouver des dates avec Charles pour avancer. Enrichissement lead impossible (email invalide). Nouvelle piste créée pour équipe Ventes. Pas d'autres actions notables.</v>
      </c>
      <c r="J28">
</c>
      <c r="K28" s="4" t="s">
        <v>44</v>
      </c>
      <c r="L28" s="4" cm="1" t="str">
        <f t="array" ref="L28">IF(C28="","",IF(K28="Mort / Plus rien à faire","KO","OK"))</f>
        <v>OK</v>
      </c>
      <c r="M28" s="10">
        <v>46063.58788194445</v>
      </c>
      <c r="N28" s="10" cm="1" t="n">
        <f t="array" ref="N28">IF(OR(C28="",M28="",M28=0),"",M28)</f>
        <v>46063.58788194445</v>
      </c>
      <c r="O28" s="10">
</c>
      <c r="P28" s="10" cm="1" t="str">
        <f t="array" ref="P28">IF(C28="","",IF(OR(O28="",O28=0),"-",O28))</f>
        <v>-</v>
      </c>
      <c r="Q28" s="11">
        <v>0</v>
      </c>
      <c r="R28" s="4" cm="1" t="str">
        <f t="array" ref="R28">IF(C28="","",ROUND(Q28/1000000,3)&amp;" M€")</f>
        <v>0 M€</v>
      </c>
      <c r="S28" s="12">
        <v>10</v>
      </c>
      <c r="T28" s="4" cm="1" t="str">
        <f t="array" ref="T28">IF(C28="","",SUBSTITUTE(S28,"","")&amp;"%")</f>
        <v>10%</v>
      </c>
      <c r="U28" s="4" cm="1" t="str">
        <f t="array" ref="U28">IF(($N28="")*($P28=""),"",IF(($N28&lt;&gt;"")*($N28&gt;TODAY()-9)*($N28&lt;TODAY()+1)*($P28&lt;&gt;"")*($P28&gt;=TODAY())*($P28&lt;=TODAY()+13),"Semaine passée &amp; à venir",IF(($N28&lt;&gt;"")*($N28&gt;TODAY()-9)*($N28&lt;TODAY()+1),"Semaine passée",IF(($P28&lt;&gt;"")*($P28&gt;=TODAY())*($P28&lt;=TODAY()+13),"À venir","Autre"))))</f>
        <v>Autre</v>
      </c>
      <c r="V28" cm="1" t="n">
        <f t="array" ref="V28">IF(C28&lt;&gt;"",1,0)</f>
        <v>1</v>
      </c>
    </row>
    <row r="29" ht="78.75" customHeight="1">
      <c r="A29" s="4" t="s">
        <v>23</v>
      </c>
      <c r="B29" s="4" t="s">
        <v>83</v>
      </c>
      <c r="C29" s="8" t="s">
        <v>110</v>
      </c>
      <c r="D29" s="8" t="s">
        <v>111</v>
      </c>
      <c r="E29" s="4" t="s">
        <v>26</v>
      </c>
      <c r="F29" t="s">
        <v>112</v>
      </c>
      <c r="G29" s="9" cm="1" t="str">
        <f t="array" ref="G29">IF(F29="","",SUBSTITUTE(SUBSTITUTE(SUBSTITUTE(SUBSTITUTE(F29,"&lt;li&gt;",CHAR(10)),"&lt;/li&gt;",""),"&lt;br&gt;",CHAR(10)),"&lt;strong&gt;",""))</f>
        <v>&lt;p&gt;Demande en 150-0 B ter, rdv tel sur offre actuelle réalisé, prospect doit revenir si intérêt clients. Enrichissement lead impossible (email non valide). Nouvelle piste créée pour équipe Ventes. Prochaine étape : attente retour prospect sur intérêt clients.&lt;/p&gt;</v>
      </c>
      <c r="H29" s="9" cm="1" t="str">
        <f t="array" ref="H29">IF(G29="","",SUBSTITUTE(SUBSTITUTE(SUBSTITUTE(SUBSTITUTE(SUBSTITUTE(G29,"&lt;p&gt;",""),"&lt;/p&gt;",""),"&lt;ul&gt;",""),"&lt;/ul&gt;",""),"&lt;/strong&gt;",""))</f>
        <v>Demande en 150-0 B ter, rdv tel sur offre actuelle réalisé, prospect doit revenir si intérêt clients. Enrichissement lead impossible (email non valide). Nouvelle piste créée pour équipe Ventes. Prochaine étape : attente retour prospect sur intérêt clients.</v>
      </c>
      <c r="I29" s="9" cm="1" t="str">
        <f t="array" ref="I29">IF(C29="","",IF(OR(H29="",H29=0,H29=FALSE),"-",H29))</f>
        <v>Demande en 150-0 B ter, rdv tel sur offre actuelle réalisé, prospect doit revenir si intérêt clients. Enrichissement lead impossible (email non valide). Nouvelle piste créée pour équipe Ventes. Prochaine étape : attente retour prospect sur intérêt clients.</v>
      </c>
      <c r="J29">
</c>
      <c r="K29" s="4" t="s">
        <v>44</v>
      </c>
      <c r="L29" s="4" cm="1" t="str">
        <f t="array" ref="L29">IF(C29="","",IF(K29="Mort / Plus rien à faire","KO","OK"))</f>
        <v>OK</v>
      </c>
      <c r="M29" s="10">
        <v>46087.71461805556</v>
      </c>
      <c r="N29" s="10" cm="1" t="n">
        <f t="array" ref="N29">IF(OR(C29="",M29="",M29=0),"",M29)</f>
        <v>46087.71461805556</v>
      </c>
      <c r="O29" s="10">
        <v>46084.041666666664</v>
      </c>
      <c r="P29" s="10" cm="1" t="n">
        <f t="array" ref="P29">IF(C29="","",IF(OR(O29="",O29=0),"-",O29))</f>
        <v>46084.041666666664</v>
      </c>
      <c r="Q29" s="11">
        <v>0</v>
      </c>
      <c r="R29" s="4" cm="1" t="str">
        <f t="array" ref="R29">IF(C29="","",ROUND(Q29/1000000,3)&amp;" M€")</f>
        <v>0 M€</v>
      </c>
      <c r="S29" s="12">
        <v>10</v>
      </c>
      <c r="T29" s="4" cm="1" t="str">
        <f t="array" ref="T29">IF(C29="","",SUBSTITUTE(S29,"","")&amp;"%")</f>
        <v>10%</v>
      </c>
      <c r="U29" s="4" cm="1" t="str">
        <f t="array" ref="U29">IF(($N29="")*($P29=""),"",IF(($N29&lt;&gt;"")*($N29&gt;TODAY()-9)*($N29&lt;TODAY()+1)*($P29&lt;&gt;"")*($P29&gt;=TODAY())*($P29&lt;=TODAY()+13),"Semaine passée &amp; à venir",IF(($N29&lt;&gt;"")*($N29&gt;TODAY()-9)*($N29&lt;TODAY()+1),"Semaine passée",IF(($P29&lt;&gt;"")*($P29&gt;=TODAY())*($P29&lt;=TODAY()+13),"À venir","Autre"))))</f>
        <v>Semaine passée</v>
      </c>
      <c r="V29" cm="1" t="n">
        <f t="array" ref="V29">IF(C29&lt;&gt;"",1,0)</f>
        <v>1</v>
      </c>
    </row>
    <row r="30" ht="78.75" customHeight="1">
      <c r="A30" s="4" t="s">
        <v>23</v>
      </c>
      <c r="B30" s="4" t="s">
        <v>31</v>
      </c>
      <c r="C30" s="8" t="s">
        <v>113</v>
      </c>
      <c r="D30" s="8" t="s">
        <v>114</v>
      </c>
      <c r="E30" s="4" t="s">
        <v>26</v>
      </c>
      <c r="F30">
</c>
      <c r="G30" s="9" cm="1" t="str">
        <f t="array" ref="G30">IF(F30="","",SUBSTITUTE(SUBSTITUTE(SUBSTITUTE(SUBSTITUTE(F30,"&lt;li&gt;",CHAR(10)),"&lt;/li&gt;",""),"&lt;br&gt;",CHAR(10)),"&lt;strong&gt;",""))</f>
        <v/>
      </c>
      <c r="H30" s="9" cm="1" t="str">
        <f t="array" ref="H30">IF(G30="","",SUBSTITUTE(SUBSTITUTE(SUBSTITUTE(SUBSTITUTE(SUBSTITUTE(G30,"&lt;p&gt;",""),"&lt;/p&gt;",""),"&lt;ul&gt;",""),"&lt;/ul&gt;",""),"&lt;/strong&gt;",""))</f>
        <v/>
      </c>
      <c r="I30" s="9" cm="1" t="str">
        <f t="array" ref="I30">IF(C30="","",IF(OR(H30="",H30=0,H30=FALSE),"-",H30))</f>
        <v>-</v>
      </c>
      <c r="J30">
</c>
      <c r="K30" s="4" t="s">
        <v>59</v>
      </c>
      <c r="L30" s="4" cm="1" t="str">
        <f t="array" ref="L30">IF(C30="","",IF(K30="Mort / Plus rien à faire","KO","OK"))</f>
        <v>OK</v>
      </c>
      <c r="M30" s="10">
        <v>46056.49582175926</v>
      </c>
      <c r="N30" s="10" cm="1" t="n">
        <f t="array" ref="N30">IF(OR(C30="",M30="",M30=0),"",M30)</f>
        <v>46056.49582175926</v>
      </c>
      <c r="O30" s="10">
</c>
      <c r="P30" s="10" cm="1" t="str">
        <f t="array" ref="P30">IF(C30="","",IF(OR(O30="",O30=0),"-",O30))</f>
        <v>-</v>
      </c>
      <c r="Q30" s="11">
        <v>0</v>
      </c>
      <c r="R30" s="4" cm="1" t="str">
        <f t="array" ref="R30">IF(C30="","",ROUND(Q30/1000000,3)&amp;" M€")</f>
        <v>0 M€</v>
      </c>
      <c r="S30" s="12">
        <v>10</v>
      </c>
      <c r="T30" s="4" cm="1" t="str">
        <f t="array" ref="T30">IF(C30="","",SUBSTITUTE(S30,"","")&amp;"%")</f>
        <v>10%</v>
      </c>
      <c r="U30" s="4" cm="1" t="str">
        <f t="array" ref="U30">IF(($N30="")*($P30=""),"",IF(($N30&lt;&gt;"")*($N30&gt;TODAY()-9)*($N30&lt;TODAY()+1)*($P30&lt;&gt;"")*($P30&gt;=TODAY())*($P30&lt;=TODAY()+13),"Semaine passée &amp; à venir",IF(($N30&lt;&gt;"")*($N30&gt;TODAY()-9)*($N30&lt;TODAY()+1),"Semaine passée",IF(($P30&lt;&gt;"")*($P30&gt;=TODAY())*($P30&lt;=TODAY()+13),"À venir","Autre"))))</f>
        <v>Autre</v>
      </c>
      <c r="V30" cm="1" t="n">
        <f t="array" ref="V30">IF(C30&lt;&gt;"",1,0)</f>
        <v>1</v>
      </c>
    </row>
    <row r="31" ht="78.75" customHeight="1">
      <c r="A31" s="4" t="s">
        <v>23</v>
      </c>
      <c r="B31" s="4" t="s">
        <v>68</v>
      </c>
      <c r="C31" s="8" t="s">
        <v>115</v>
      </c>
      <c r="D31" s="8" t="s">
        <v>116</v>
      </c>
      <c r="E31" s="4" t="s">
        <v>26</v>
      </c>
      <c r="F31" t="s">
        <v>117</v>
      </c>
      <c r="G31" s="9" cm="1" t="str">
        <f t="array" ref="G31">IF(F31="","",SUBSTITUTE(SUBSTITUTE(SUBSTITUTE(SUBSTITUTE(F31,"&lt;li&gt;",CHAR(10)),"&lt;/li&gt;",""),"&lt;br&gt;",CHAR(10)),"&lt;strong&gt;",""))</f>
        <v>&lt;p&gt;Famille Dassault via Alexandre Hapern étudie fonds spatial, intérêt confirmé. Appel passé, relance prévue pour décision Dasteria. Décision d'investissement 1-3 M€ attendue mi-mars 2026. Prospects en phase d'analyse, attente retour sur possible engagement. Pas d'autres actions récentes.&lt;/p&gt;</v>
      </c>
      <c r="H31" s="9" cm="1" t="str">
        <f t="array" ref="H31">IF(G31="","",SUBSTITUTE(SUBSTITUTE(SUBSTITUTE(SUBSTITUTE(SUBSTITUTE(G31,"&lt;p&gt;",""),"&lt;/p&gt;",""),"&lt;ul&gt;",""),"&lt;/ul&gt;",""),"&lt;/strong&gt;",""))</f>
        <v>Famille Dassault via Alexandre Hapern étudie fonds spatial, intérêt confirmé. Appel passé, relance prévue pour décision Dasteria. Décision d'investissement 1-3 M€ attendue mi-mars 2026. Prospects en phase d'analyse, attente retour sur possible engagement. Pas d'autres actions récentes.</v>
      </c>
      <c r="I31" s="9" cm="1" t="str">
        <f t="array" ref="I31">IF(C31="","",IF(OR(H31="",H31=0,H31=FALSE),"-",H31))</f>
        <v>Famille Dassault via Alexandre Hapern étudie fonds spatial, intérêt confirmé. Appel passé, relance prévue pour décision Dasteria. Décision d'investissement 1-3 M€ attendue mi-mars 2026. Prospects en phase d'analyse, attente retour sur possible engagement. Pas d'autres actions récentes.</v>
      </c>
      <c r="J31" t="s">
        <v>118</v>
      </c>
      <c r="K31" s="4" t="s">
        <v>44</v>
      </c>
      <c r="L31" s="4" cm="1" t="str">
        <f t="array" ref="L31">IF(C31="","",IF(K31="Mort / Plus rien à faire","KO","OK"))</f>
        <v>OK</v>
      </c>
      <c r="M31" s="10">
        <v>46083.673738425925</v>
      </c>
      <c r="N31" s="10" cm="1" t="n">
        <f t="array" ref="N31">IF(OR(C31="",M31="",M31=0),"",M31)</f>
        <v>46083.673738425925</v>
      </c>
      <c r="O31" s="10">
        <v>46097.041666666664</v>
      </c>
      <c r="P31" s="10" cm="1" t="n">
        <f t="array" ref="P31">IF(C31="","",IF(OR(O31="",O31=0),"-",O31))</f>
        <v>46097.041666666664</v>
      </c>
      <c r="Q31" s="11">
        <v>3000000</v>
      </c>
      <c r="R31" s="4" cm="1" t="str">
        <f t="array" ref="R31">IF(C31="","",ROUND(Q31/1000000,3)&amp;" M€")</f>
        <v>3 M€</v>
      </c>
      <c r="S31" s="12">
        <v>10</v>
      </c>
      <c r="T31" s="4" cm="1" t="str">
        <f t="array" ref="T31">IF(C31="","",SUBSTITUTE(S31,"","")&amp;"%")</f>
        <v>10%</v>
      </c>
      <c r="U31" s="4" cm="1" t="str">
        <f t="array" ref="U31">IF(($N31="")*($P31=""),"",IF(($N31&lt;&gt;"")*($N31&gt;TODAY()-9)*($N31&lt;TODAY()+1)*($P31&lt;&gt;"")*($P31&gt;=TODAY())*($P31&lt;=TODAY()+13),"Semaine passée &amp; à venir",IF(($N31&lt;&gt;"")*($N31&gt;TODAY()-9)*($N31&lt;TODAY()+1),"Semaine passée",IF(($P31&lt;&gt;"")*($P31&gt;=TODAY())*($P31&lt;=TODAY()+13),"À venir","Autre"))))</f>
        <v>Semaine passée &amp; à venir</v>
      </c>
      <c r="V31" cm="1" t="n">
        <f t="array" ref="V31">IF(C31&lt;&gt;"",1,0)</f>
        <v>1</v>
      </c>
    </row>
    <row r="32" ht="78.75" customHeight="1">
      <c r="A32" s="4" t="s">
        <v>23</v>
      </c>
      <c r="B32" s="4" t="s">
        <v>24</v>
      </c>
      <c r="C32" s="8" t="s">
        <v>119</v>
      </c>
      <c r="D32" s="8" t="s">
        <v>119</v>
      </c>
      <c r="E32" s="4" t="s">
        <v>26</v>
      </c>
      <c r="F32">
</c>
      <c r="G32" s="9" cm="1" t="str">
        <f t="array" ref="G32">IF(F32="","",SUBSTITUTE(SUBSTITUTE(SUBSTITUTE(SUBSTITUTE(F32,"&lt;li&gt;",CHAR(10)),"&lt;/li&gt;",""),"&lt;br&gt;",CHAR(10)),"&lt;strong&gt;",""))</f>
        <v/>
      </c>
      <c r="H32" s="9" cm="1" t="str">
        <f t="array" ref="H32">IF(G32="","",SUBSTITUTE(SUBSTITUTE(SUBSTITUTE(SUBSTITUTE(SUBSTITUTE(G32,"&lt;p&gt;",""),"&lt;/p&gt;",""),"&lt;ul&gt;",""),"&lt;/ul&gt;",""),"&lt;/strong&gt;",""))</f>
        <v/>
      </c>
      <c r="I32" s="9" cm="1" t="str">
        <f t="array" ref="I32">IF(C32="","",IF(OR(H32="",H32=0,H32=FALSE),"-",H32))</f>
        <v>-</v>
      </c>
      <c r="J32">
</c>
      <c r="K32" s="4" t="s">
        <v>59</v>
      </c>
      <c r="L32" s="4" cm="1" t="str">
        <f t="array" ref="L32">IF(C32="","",IF(K32="Mort / Plus rien à faire","KO","OK"))</f>
        <v>OK</v>
      </c>
      <c r="M32" s="10">
        <v>46056.49076388889</v>
      </c>
      <c r="N32" s="10" cm="1" t="n">
        <f t="array" ref="N32">IF(OR(C32="",M32="",M32=0),"",M32)</f>
        <v>46056.49076388889</v>
      </c>
      <c r="O32" s="10">
</c>
      <c r="P32" s="10" cm="1" t="str">
        <f t="array" ref="P32">IF(C32="","",IF(OR(O32="",O32=0),"-",O32))</f>
        <v>-</v>
      </c>
      <c r="Q32" s="11">
        <v>0</v>
      </c>
      <c r="R32" s="4" cm="1" t="str">
        <f t="array" ref="R32">IF(C32="","",ROUND(Q32/1000000,3)&amp;" M€")</f>
        <v>0 M€</v>
      </c>
      <c r="S32" s="12">
        <v>10</v>
      </c>
      <c r="T32" s="4" cm="1" t="str">
        <f t="array" ref="T32">IF(C32="","",SUBSTITUTE(S32,"","")&amp;"%")</f>
        <v>10%</v>
      </c>
      <c r="U32" s="4" cm="1" t="str">
        <f t="array" ref="U32">IF(($N32="")*($P32=""),"",IF(($N32&lt;&gt;"")*($N32&gt;TODAY()-9)*($N32&lt;TODAY()+1)*($P32&lt;&gt;"")*($P32&gt;=TODAY())*($P32&lt;=TODAY()+13),"Semaine passée &amp; à venir",IF(($N32&lt;&gt;"")*($N32&gt;TODAY()-9)*($N32&lt;TODAY()+1),"Semaine passée",IF(($P32&lt;&gt;"")*($P32&gt;=TODAY())*($P32&lt;=TODAY()+13),"À venir","Autre"))))</f>
        <v>Autre</v>
      </c>
      <c r="V32" cm="1" t="n">
        <f t="array" ref="V32">IF(C32&lt;&gt;"",1,0)</f>
        <v>1</v>
      </c>
    </row>
    <row r="33" ht="78.75" customHeight="1">
      <c r="A33" s="4" t="s">
        <v>23</v>
      </c>
      <c r="B33" s="4" t="s">
        <v>38</v>
      </c>
      <c r="C33" s="8" t="s">
        <v>120</v>
      </c>
      <c r="D33" s="8" t="s">
        <v>121</v>
      </c>
      <c r="E33" s="4" t="s">
        <v>56</v>
      </c>
      <c r="F33">
</c>
      <c r="G33" s="9" cm="1" t="str">
        <f t="array" ref="G33">IF(F33="","",SUBSTITUTE(SUBSTITUTE(SUBSTITUTE(SUBSTITUTE(F33,"&lt;li&gt;",CHAR(10)),"&lt;/li&gt;",""),"&lt;br&gt;",CHAR(10)),"&lt;strong&gt;",""))</f>
        <v/>
      </c>
      <c r="H33" s="9" cm="1" t="str">
        <f t="array" ref="H33">IF(G33="","",SUBSTITUTE(SUBSTITUTE(SUBSTITUTE(SUBSTITUTE(SUBSTITUTE(G33,"&lt;p&gt;",""),"&lt;/p&gt;",""),"&lt;ul&gt;",""),"&lt;/ul&gt;",""),"&lt;/strong&gt;",""))</f>
        <v/>
      </c>
      <c r="I33" s="9" cm="1" t="str">
        <f t="array" ref="I33">IF(C33="","",IF(OR(H33="",H33=0,H33=FALSE),"-",H33))</f>
        <v>-</v>
      </c>
      <c r="J33">
</c>
      <c r="K33" s="4" t="s">
        <v>59</v>
      </c>
      <c r="L33" s="4" cm="1" t="str">
        <f t="array" ref="L33">IF(C33="","",IF(K33="Mort / Plus rien à faire","KO","OK"))</f>
        <v>OK</v>
      </c>
      <c r="M33" s="10">
        <v>46042.622719907406</v>
      </c>
      <c r="N33" s="10" cm="1" t="n">
        <f t="array" ref="N33">IF(OR(C33="",M33="",M33=0),"",M33)</f>
        <v>46042.622719907406</v>
      </c>
      <c r="O33" s="10">
</c>
      <c r="P33" s="10" cm="1" t="str">
        <f t="array" ref="P33">IF(C33="","",IF(OR(O33="",O33=0),"-",O33))</f>
        <v>-</v>
      </c>
      <c r="Q33" s="11">
        <v>0</v>
      </c>
      <c r="R33" s="4" cm="1" t="str">
        <f t="array" ref="R33">IF(C33="","",ROUND(Q33/1000000,3)&amp;" M€")</f>
        <v>0 M€</v>
      </c>
      <c r="S33" s="12">
        <v>10</v>
      </c>
      <c r="T33" s="4" cm="1" t="str">
        <f t="array" ref="T33">IF(C33="","",SUBSTITUTE(S33,"","")&amp;"%")</f>
        <v>10%</v>
      </c>
      <c r="U33" s="4" cm="1" t="str">
        <f t="array" ref="U33">IF(($N33="")*($P33=""),"",IF(($N33&lt;&gt;"")*($N33&gt;TODAY()-9)*($N33&lt;TODAY()+1)*($P33&lt;&gt;"")*($P33&gt;=TODAY())*($P33&lt;=TODAY()+13),"Semaine passée &amp; à venir",IF(($N33&lt;&gt;"")*($N33&gt;TODAY()-9)*($N33&lt;TODAY()+1),"Semaine passée",IF(($P33&lt;&gt;"")*($P33&gt;=TODAY())*($P33&lt;=TODAY()+13),"À venir","Autre"))))</f>
        <v>Autre</v>
      </c>
      <c r="V33" cm="1" t="n">
        <f t="array" ref="V33">IF(C33&lt;&gt;"",1,0)</f>
        <v>1</v>
      </c>
    </row>
    <row r="34" ht="78.75" customHeight="1">
      <c r="A34" s="4" t="s">
        <v>23</v>
      </c>
      <c r="B34" s="4" t="s">
        <v>68</v>
      </c>
      <c r="C34" s="8" t="s">
        <v>122</v>
      </c>
      <c r="D34" s="8" t="s">
        <v>123</v>
      </c>
      <c r="E34" s="4" t="s">
        <v>26</v>
      </c>
      <c r="F34">
</c>
      <c r="G34" s="9" cm="1" t="str">
        <f t="array" ref="G34">IF(F34="","",SUBSTITUTE(SUBSTITUTE(SUBSTITUTE(SUBSTITUTE(F34,"&lt;li&gt;",CHAR(10)),"&lt;/li&gt;",""),"&lt;br&gt;",CHAR(10)),"&lt;strong&gt;",""))</f>
        <v/>
      </c>
      <c r="H34" s="9" cm="1" t="str">
        <f t="array" ref="H34">IF(G34="","",SUBSTITUTE(SUBSTITUTE(SUBSTITUTE(SUBSTITUTE(SUBSTITUTE(G34,"&lt;p&gt;",""),"&lt;/p&gt;",""),"&lt;ul&gt;",""),"&lt;/ul&gt;",""),"&lt;/strong&gt;",""))</f>
        <v/>
      </c>
      <c r="I34" s="9" cm="1" t="str">
        <f t="array" ref="I34">IF(C34="","",IF(OR(H34="",H34=0,H34=FALSE),"-",H34))</f>
        <v>-</v>
      </c>
      <c r="J34">
</c>
      <c r="K34" s="4" t="s">
        <v>59</v>
      </c>
      <c r="L34" s="4" cm="1" t="str">
        <f t="array" ref="L34">IF(C34="","",IF(K34="Mort / Plus rien à faire","KO","OK"))</f>
        <v>OK</v>
      </c>
      <c r="M34" s="10">
        <v>45960.62489583333</v>
      </c>
      <c r="N34" s="10" cm="1" t="n">
        <f t="array" ref="N34">IF(OR(C34="",M34="",M34=0),"",M34)</f>
        <v>45960.62489583333</v>
      </c>
      <c r="O34" s="10">
</c>
      <c r="P34" s="10" cm="1" t="str">
        <f t="array" ref="P34">IF(C34="","",IF(OR(O34="",O34=0),"-",O34))</f>
        <v>-</v>
      </c>
      <c r="Q34" s="11">
        <v>0</v>
      </c>
      <c r="R34" s="4" cm="1" t="str">
        <f t="array" ref="R34">IF(C34="","",ROUND(Q34/1000000,3)&amp;" M€")</f>
        <v>0 M€</v>
      </c>
      <c r="S34" s="12">
        <v>10</v>
      </c>
      <c r="T34" s="4" cm="1" t="str">
        <f t="array" ref="T34">IF(C34="","",SUBSTITUTE(S34,"","")&amp;"%")</f>
        <v>10%</v>
      </c>
      <c r="U34" s="4" cm="1" t="str">
        <f t="array" ref="U34">IF(($N34="")*($P34=""),"",IF(($N34&lt;&gt;"")*($N34&gt;TODAY()-9)*($N34&lt;TODAY()+1)*($P34&lt;&gt;"")*($P34&gt;=TODAY())*($P34&lt;=TODAY()+13),"Semaine passée &amp; à venir",IF(($N34&lt;&gt;"")*($N34&gt;TODAY()-9)*($N34&lt;TODAY()+1),"Semaine passée",IF(($P34&lt;&gt;"")*($P34&gt;=TODAY())*($P34&lt;=TODAY()+13),"À venir","Autre"))))</f>
        <v>Autre</v>
      </c>
      <c r="V34" cm="1" t="n">
        <f t="array" ref="V34">IF(C34&lt;&gt;"",1,0)</f>
        <v>1</v>
      </c>
    </row>
    <row r="35" ht="78.75" customHeight="1">
      <c r="A35" s="4" t="s">
        <v>23</v>
      </c>
      <c r="B35" s="4" t="s">
        <v>124</v>
      </c>
      <c r="C35" s="8" t="s">
        <v>125</v>
      </c>
      <c r="D35" s="8" t="s">
        <v>126</v>
      </c>
      <c r="E35" s="4" t="s">
        <v>50</v>
      </c>
      <c r="F35" t="s">
        <v>127</v>
      </c>
      <c r="G35" s="9" cm="1" t="str">
        <f t="array" ref="G35">IF(F35="","",SUBSTITUTE(SUBSTITUTE(SUBSTITUTE(SUBSTITUTE(F35,"&lt;li&gt;",CHAR(10)),"&lt;/li&gt;",""),"&lt;br&gt;",CHAR(10)),"&lt;strong&gt;",""))</f>
        <v>&lt;p&gt;RDV physique réalisé, prochain RDV prévu le 19/02. Action précédente : mail à envoyer, relance effectuée. Nouvelle piste créée pour équipe Ventes. Pas d'autres activités ou retours prospect mentionnés. Prochain suivi à prévoir après le RDV du 19/02.&lt;/p&gt;</v>
      </c>
      <c r="H35" s="9" cm="1" t="str">
        <f t="array" ref="H35">IF(G35="","",SUBSTITUTE(SUBSTITUTE(SUBSTITUTE(SUBSTITUTE(SUBSTITUTE(G35,"&lt;p&gt;",""),"&lt;/p&gt;",""),"&lt;ul&gt;",""),"&lt;/ul&gt;",""),"&lt;/strong&gt;",""))</f>
        <v>RDV physique réalisé, prochain RDV prévu le 19/02. Action précédente : mail à envoyer, relance effectuée. Nouvelle piste créée pour équipe Ventes. Pas d'autres activités ou retours prospect mentionnés. Prochain suivi à prévoir après le RDV du 19/02.</v>
      </c>
      <c r="I35" s="9" cm="1" t="str">
        <f t="array" ref="I35">IF(C35="","",IF(OR(H35="",H35=0,H35=FALSE),"-",H35))</f>
        <v>RDV physique réalisé, prochain RDV prévu le 19/02. Action précédente : mail à envoyer, relance effectuée. Nouvelle piste créée pour équipe Ventes. Pas d'autres activités ou retours prospect mentionnés. Prochain suivi à prévoir après le RDV du 19/02.</v>
      </c>
      <c r="J35">
</c>
      <c r="K35" s="4" t="s">
        <v>44</v>
      </c>
      <c r="L35" s="4" cm="1" t="str">
        <f t="array" ref="L35">IF(C35="","",IF(K35="Mort / Plus rien à faire","KO","OK"))</f>
        <v>OK</v>
      </c>
      <c r="M35" s="10">
        <v>46083.60548611111</v>
      </c>
      <c r="N35" s="10" cm="1" t="n">
        <f t="array" ref="N35">IF(OR(C35="",M35="",M35=0),"",M35)</f>
        <v>46083.60548611111</v>
      </c>
      <c r="O35" s="10">
</c>
      <c r="P35" s="10" cm="1" t="str">
        <f t="array" ref="P35">IF(C35="","",IF(OR(O35="",O35=0),"-",O35))</f>
        <v>-</v>
      </c>
      <c r="Q35" s="11">
        <v>0</v>
      </c>
      <c r="R35" s="4" cm="1" t="str">
        <f t="array" ref="R35">IF(C35="","",ROUND(Q35/1000000,3)&amp;" M€")</f>
        <v>0 M€</v>
      </c>
      <c r="S35" s="12">
        <v>10</v>
      </c>
      <c r="T35" s="4" cm="1" t="str">
        <f t="array" ref="T35">IF(C35="","",SUBSTITUTE(S35,"","")&amp;"%")</f>
        <v>10%</v>
      </c>
      <c r="U35" s="4" cm="1" t="str">
        <f t="array" ref="U35">IF(($N35="")*($P35=""),"",IF(($N35&lt;&gt;"")*($N35&gt;TODAY()-9)*($N35&lt;TODAY()+1)*($P35&lt;&gt;"")*($P35&gt;=TODAY())*($P35&lt;=TODAY()+13),"Semaine passée &amp; à venir",IF(($N35&lt;&gt;"")*($N35&gt;TODAY()-9)*($N35&lt;TODAY()+1),"Semaine passée",IF(($P35&lt;&gt;"")*($P35&gt;=TODAY())*($P35&lt;=TODAY()+13),"À venir","Autre"))))</f>
        <v>Semaine passée</v>
      </c>
      <c r="V35" cm="1" t="n">
        <f t="array" ref="V35">IF(C35&lt;&gt;"",1,0)</f>
        <v>1</v>
      </c>
    </row>
    <row r="36" ht="78.75" customHeight="1">
      <c r="A36" s="4" t="s">
        <v>23</v>
      </c>
      <c r="B36" s="4" t="s">
        <v>68</v>
      </c>
      <c r="C36" s="8" t="s">
        <v>128</v>
      </c>
      <c r="D36" s="8" t="s">
        <v>129</v>
      </c>
      <c r="E36" s="4" t="s">
        <v>56</v>
      </c>
      <c r="F36" t="s">
        <v>130</v>
      </c>
      <c r="G36" s="9" cm="1" t="str">
        <f t="array" ref="G36">IF(F36="","",SUBSTITUTE(SUBSTITUTE(SUBSTITUTE(SUBSTITUTE(F36,"&lt;li&gt;",CHAR(10)),"&lt;/li&gt;",""),"&lt;br&gt;",CHAR(10)),"&lt;strong&gt;",""))</f>
        <v>&lt;p&gt;18/02 : appel, message laissé pour prise de nouvelles et proposition de RDV avec équipe sélection investissement. 12/01 : création piste équipe Ventes. Pas d'autres actions ou retours prospect. Prochaines étapes : attendre retour pour fixer RDV. Pas de conclusion prospect sur fonds à ce stade.&lt;/p&gt;</v>
      </c>
      <c r="H36" s="9" cm="1" t="str">
        <f t="array" ref="H36">IF(G36="","",SUBSTITUTE(SUBSTITUTE(SUBSTITUTE(SUBSTITUTE(SUBSTITUTE(G36,"&lt;p&gt;",""),"&lt;/p&gt;",""),"&lt;ul&gt;",""),"&lt;/ul&gt;",""),"&lt;/strong&gt;",""))</f>
        <v>18/02 : appel, message laissé pour prise de nouvelles et proposition de RDV avec équipe sélection investissement. 12/01 : création piste équipe Ventes. Pas d'autres actions ou retours prospect. Prochaines étapes : attendre retour pour fixer RDV. Pas de conclusion prospect sur fonds à ce stade.</v>
      </c>
      <c r="I36" s="9" cm="1" t="str">
        <f t="array" ref="I36">IF(C36="","",IF(OR(H36="",H36=0,H36=FALSE),"-",H36))</f>
        <v>18/02 : appel, message laissé pour prise de nouvelles et proposition de RDV avec équipe sélection investissement. 12/01 : création piste équipe Ventes. Pas d'autres actions ou retours prospect. Prochaines étapes : attendre retour pour fixer RDV. Pas de conclusion prospect sur fonds à ce stade.</v>
      </c>
      <c r="J36">
</c>
      <c r="K36" s="4" t="s">
        <v>59</v>
      </c>
      <c r="L36" s="4" cm="1" t="str">
        <f t="array" ref="L36">IF(C36="","",IF(K36="Mort / Plus rien à faire","KO","OK"))</f>
        <v>OK</v>
      </c>
      <c r="M36" s="10">
        <v>46071.65869212963</v>
      </c>
      <c r="N36" s="10" cm="1" t="n">
        <f t="array" ref="N36">IF(OR(C36="",M36="",M36=0),"",M36)</f>
        <v>46071.65869212963</v>
      </c>
      <c r="O36" s="10">
</c>
      <c r="P36" s="10" cm="1" t="str">
        <f t="array" ref="P36">IF(C36="","",IF(OR(O36="",O36=0),"-",O36))</f>
        <v>-</v>
      </c>
      <c r="Q36" s="11">
        <v>0</v>
      </c>
      <c r="R36" s="4" cm="1" t="str">
        <f t="array" ref="R36">IF(C36="","",ROUND(Q36/1000000,3)&amp;" M€")</f>
        <v>0 M€</v>
      </c>
      <c r="S36" s="12">
        <v>10</v>
      </c>
      <c r="T36" s="4" cm="1" t="str">
        <f t="array" ref="T36">IF(C36="","",SUBSTITUTE(S36,"","")&amp;"%")</f>
        <v>10%</v>
      </c>
      <c r="U36" s="4" cm="1" t="str">
        <f t="array" ref="U36">IF(($N36="")*($P36=""),"",IF(($N36&lt;&gt;"")*($N36&gt;TODAY()-9)*($N36&lt;TODAY()+1)*($P36&lt;&gt;"")*($P36&gt;=TODAY())*($P36&lt;=TODAY()+13),"Semaine passée &amp; à venir",IF(($N36&lt;&gt;"")*($N36&gt;TODAY()-9)*($N36&lt;TODAY()+1),"Semaine passée",IF(($P36&lt;&gt;"")*($P36&gt;=TODAY())*($P36&lt;=TODAY()+13),"À venir","Autre"))))</f>
        <v>Autre</v>
      </c>
      <c r="V36" cm="1" t="n">
        <f t="array" ref="V36">IF(C36&lt;&gt;"",1,0)</f>
        <v>1</v>
      </c>
    </row>
    <row r="37" ht="78.75" customHeight="1">
      <c r="A37" s="4" t="s">
        <v>23</v>
      </c>
      <c r="B37" s="4" t="s">
        <v>31</v>
      </c>
      <c r="C37" s="8" t="s">
        <v>131</v>
      </c>
      <c r="D37" s="8" t="s">
        <v>132</v>
      </c>
      <c r="E37" s="4" t="s">
        <v>56</v>
      </c>
      <c r="F37" t="s">
        <v>133</v>
      </c>
      <c r="G37" s="9" cm="1" t="str">
        <f t="array" ref="G37">IF(F37="","",SUBSTITUTE(SUBSTITUTE(SUBSTITUTE(SUBSTITUTE(F37,"&lt;li&gt;",CHAR(10)),"&lt;/li&gt;",""),"&lt;br&gt;",CHAR(10)),"&lt;strong&gt;",""))</f>
        <v>&lt;p&gt;Aucune activité menée sur le prospect. Société de gestion de fortune à Paris, intéressée par infos sur fonds éligibles 150 OB ter : C4 et Géodésic. Nouvelle piste créée pour équipe Ventes, pas d'échanges ou actions récentes enregistrées. Prochaines étapes à définir.&lt;/p&gt;</v>
      </c>
      <c r="H37" s="9" cm="1" t="str">
        <f t="array" ref="H37">IF(G37="","",SUBSTITUTE(SUBSTITUTE(SUBSTITUTE(SUBSTITUTE(SUBSTITUTE(G37,"&lt;p&gt;",""),"&lt;/p&gt;",""),"&lt;ul&gt;",""),"&lt;/ul&gt;",""),"&lt;/strong&gt;",""))</f>
        <v>Aucune activité menée sur le prospect. Société de gestion de fortune à Paris, intéressée par infos sur fonds éligibles 150 OB ter : C4 et Géodésic. Nouvelle piste créée pour équipe Ventes, pas d'échanges ou actions récentes enregistrées. Prochaines étapes à définir.</v>
      </c>
      <c r="I37" s="9" cm="1" t="str">
        <f t="array" ref="I37">IF(C37="","",IF(OR(H37="",H37=0,H37=FALSE),"-",H37))</f>
        <v>Aucune activité menée sur le prospect. Société de gestion de fortune à Paris, intéressée par infos sur fonds éligibles 150 OB ter : C4 et Géodésic. Nouvelle piste créée pour équipe Ventes, pas d'échanges ou actions récentes enregistrées. Prochaines étapes à définir.</v>
      </c>
      <c r="J37">
</c>
      <c r="K37" s="4" t="s">
        <v>53</v>
      </c>
      <c r="L37" s="4" cm="1" t="str">
        <f t="array" ref="L37">IF(C37="","",IF(K37="Mort / Plus rien à faire","KO","OK"))</f>
        <v>OK</v>
      </c>
      <c r="M37" s="10">
        <v>46034.43263888889</v>
      </c>
      <c r="N37" s="10" cm="1" t="n">
        <f t="array" ref="N37">IF(OR(C37="",M37="",M37=0),"",M37)</f>
        <v>46034.43263888889</v>
      </c>
      <c r="O37" s="10">
</c>
      <c r="P37" s="10" cm="1" t="str">
        <f t="array" ref="P37">IF(C37="","",IF(OR(O37="",O37=0),"-",O37))</f>
        <v>-</v>
      </c>
      <c r="Q37" s="11">
        <v>0</v>
      </c>
      <c r="R37" s="4" cm="1" t="str">
        <f t="array" ref="R37">IF(C37="","",ROUND(Q37/1000000,3)&amp;" M€")</f>
        <v>0 M€</v>
      </c>
      <c r="S37" s="12">
        <v>10</v>
      </c>
      <c r="T37" s="4" cm="1" t="str">
        <f t="array" ref="T37">IF(C37="","",SUBSTITUTE(S37,"","")&amp;"%")</f>
        <v>10%</v>
      </c>
      <c r="U37" s="4" cm="1" t="str">
        <f t="array" ref="U37">IF(($N37="")*($P37=""),"",IF(($N37&lt;&gt;"")*($N37&gt;TODAY()-9)*($N37&lt;TODAY()+1)*($P37&lt;&gt;"")*($P37&gt;=TODAY())*($P37&lt;=TODAY()+13),"Semaine passée &amp; à venir",IF(($N37&lt;&gt;"")*($N37&gt;TODAY()-9)*($N37&lt;TODAY()+1),"Semaine passée",IF(($P37&lt;&gt;"")*($P37&gt;=TODAY())*($P37&lt;=TODAY()+13),"À venir","Autre"))))</f>
        <v>Autre</v>
      </c>
      <c r="V37" cm="1" t="n">
        <f t="array" ref="V37">IF(C37&lt;&gt;"",1,0)</f>
        <v>1</v>
      </c>
    </row>
    <row r="38" ht="78.75" customHeight="1">
      <c r="A38" s="4" t="s">
        <v>23</v>
      </c>
      <c r="B38" s="4" t="s">
        <v>38</v>
      </c>
      <c r="C38" s="8" t="s">
        <v>134</v>
      </c>
      <c r="D38" s="8" t="s">
        <v>135</v>
      </c>
      <c r="E38" s="4" t="s">
        <v>26</v>
      </c>
      <c r="F38" t="s">
        <v>136</v>
      </c>
      <c r="G38" s="9" cm="1" t="str">
        <f t="array" ref="G38">IF(F38="","",SUBSTITUTE(SUBSTITUTE(SUBSTITUTE(SUBSTITUTE(F38,"&lt;li&gt;",CHAR(10)),"&lt;/li&gt;",""),"&lt;br&gt;",CHAR(10)),"&lt;strong&gt;",""))</f>
        <v>&lt;p&gt;Piste OUTMATCH INVEST créée équipe Ventes 28/01. Intérêt souverain noté, pas d'autres échanges ou actions menées. Enrichissement lead impossible (email non valide). Aucune activité ni prochaine étape identifiée à ce jour, pas de retour prospect sur fonds présentés.&lt;/p&gt;</v>
      </c>
      <c r="H38" s="9" cm="1" t="str">
        <f t="array" ref="H38">IF(G38="","",SUBSTITUTE(SUBSTITUTE(SUBSTITUTE(SUBSTITUTE(SUBSTITUTE(G38,"&lt;p&gt;",""),"&lt;/p&gt;",""),"&lt;ul&gt;",""),"&lt;/ul&gt;",""),"&lt;/strong&gt;",""))</f>
        <v>Piste OUTMATCH INVEST créée équipe Ventes 28/01. Intérêt souverain noté, pas d'autres échanges ou actions menées. Enrichissement lead impossible (email non valide). Aucune activité ni prochaine étape identifiée à ce jour, pas de retour prospect sur fonds présentés.</v>
      </c>
      <c r="I38" s="9" cm="1" t="str">
        <f t="array" ref="I38">IF(C38="","",IF(OR(H38="",H38=0,H38=FALSE),"-",H38))</f>
        <v>Piste OUTMATCH INVEST créée équipe Ventes 28/01. Intérêt souverain noté, pas d'autres échanges ou actions menées. Enrichissement lead impossible (email non valide). Aucune activité ni prochaine étape identifiée à ce jour, pas de retour prospect sur fonds présentés.</v>
      </c>
      <c r="J38">
</c>
      <c r="K38" s="4" t="s">
        <v>44</v>
      </c>
      <c r="L38" s="4" cm="1" t="str">
        <f t="array" ref="L38">IF(C38="","",IF(K38="Mort / Plus rien à faire","KO","OK"))</f>
        <v>OK</v>
      </c>
      <c r="M38" s="10">
        <v>46050.68449074074</v>
      </c>
      <c r="N38" s="10" cm="1" t="n">
        <f t="array" ref="N38">IF(OR(C38="",M38="",M38=0),"",M38)</f>
        <v>46050.68449074074</v>
      </c>
      <c r="O38" s="10">
</c>
      <c r="P38" s="10" cm="1" t="str">
        <f t="array" ref="P38">IF(C38="","",IF(OR(O38="",O38=0),"-",O38))</f>
        <v>-</v>
      </c>
      <c r="Q38" s="11">
        <v>0</v>
      </c>
      <c r="R38" s="4" cm="1" t="str">
        <f t="array" ref="R38">IF(C38="","",ROUND(Q38/1000000,3)&amp;" M€")</f>
        <v>0 M€</v>
      </c>
      <c r="S38" s="12">
        <v>10</v>
      </c>
      <c r="T38" s="4" cm="1" t="str">
        <f t="array" ref="T38">IF(C38="","",SUBSTITUTE(S38,"","")&amp;"%")</f>
        <v>10%</v>
      </c>
      <c r="U38" s="4" cm="1" t="str">
        <f t="array" ref="U38">IF(($N38="")*($P38=""),"",IF(($N38&lt;&gt;"")*($N38&gt;TODAY()-9)*($N38&lt;TODAY()+1)*($P38&lt;&gt;"")*($P38&gt;=TODAY())*($P38&lt;=TODAY()+13),"Semaine passée &amp; à venir",IF(($N38&lt;&gt;"")*($N38&gt;TODAY()-9)*($N38&lt;TODAY()+1),"Semaine passée",IF(($P38&lt;&gt;"")*($P38&gt;=TODAY())*($P38&lt;=TODAY()+13),"À venir","Autre"))))</f>
        <v>Autre</v>
      </c>
      <c r="V38" cm="1" t="n">
        <f t="array" ref="V38">IF(C38&lt;&gt;"",1,0)</f>
        <v>1</v>
      </c>
    </row>
    <row r="39" ht="78.75" customHeight="1">
      <c r="A39" s="4" t="s">
        <v>23</v>
      </c>
      <c r="B39" s="4" t="s">
        <v>83</v>
      </c>
      <c r="C39" s="8" t="s">
        <v>137</v>
      </c>
      <c r="D39" s="8" t="s">
        <v>138</v>
      </c>
      <c r="E39" s="4" t="s">
        <v>26</v>
      </c>
      <c r="F39" t="s">
        <v>139</v>
      </c>
      <c r="G39" s="9" cm="1" t="str">
        <f t="array" ref="G39">IF(F39="","",SUBSTITUTE(SUBSTITUTE(SUBSTITUTE(SUBSTITUTE(F39,"&lt;li&gt;",CHAR(10)),"&lt;/li&gt;",""),"&lt;br&gt;",CHAR(10)),"&lt;strong&gt;",""))</f>
        <v>&lt;p&gt;Projet référencement fonds, passage en comité initialement prévu, reporté à mi-février. Lead créé pour équipe Ventes. Tentative d'enrichissement échouée (email invalide). Prochaine étape&amp;nbsp;: attendre retour du comité mi-février pour décision sur référencement des fonds.&lt;/p&gt;</v>
      </c>
      <c r="H39" s="9" cm="1" t="str">
        <f t="array" ref="H39">IF(G39="","",SUBSTITUTE(SUBSTITUTE(SUBSTITUTE(SUBSTITUTE(SUBSTITUTE(G39,"&lt;p&gt;",""),"&lt;/p&gt;",""),"&lt;ul&gt;",""),"&lt;/ul&gt;",""),"&lt;/strong&gt;",""))</f>
        <v>Projet référencement fonds, passage en comité initialement prévu, reporté à mi-février. Lead créé pour équipe Ventes. Tentative d'enrichissement échouée (email invalide). Prochaine étape&amp;nbsp;: attendre retour du comité mi-février pour décision sur référencement des fonds.</v>
      </c>
      <c r="I39" s="9" cm="1" t="str">
        <f t="array" ref="I39">IF(C39="","",IF(OR(H39="",H39=0,H39=FALSE),"-",H39))</f>
        <v>Projet référencement fonds, passage en comité initialement prévu, reporté à mi-février. Lead créé pour équipe Ventes. Tentative d'enrichissement échouée (email invalide). Prochaine étape&amp;nbsp;: attendre retour du comité mi-février pour décision sur référencement des fonds.</v>
      </c>
      <c r="J39">
</c>
      <c r="K39" s="4" t="s">
        <v>44</v>
      </c>
      <c r="L39" s="4" cm="1" t="str">
        <f t="array" ref="L39">IF(C39="","",IF(K39="Mort / Plus rien à faire","KO","OK"))</f>
        <v>OK</v>
      </c>
      <c r="M39" s="10">
        <v>46050.68782407408</v>
      </c>
      <c r="N39" s="10" cm="1" t="n">
        <f t="array" ref="N39">IF(OR(C39="",M39="",M39=0),"",M39)</f>
        <v>46050.68782407408</v>
      </c>
      <c r="O39" s="10">
</c>
      <c r="P39" s="10" cm="1" t="str">
        <f t="array" ref="P39">IF(C39="","",IF(OR(O39="",O39=0),"-",O39))</f>
        <v>-</v>
      </c>
      <c r="Q39" s="11">
        <v>0</v>
      </c>
      <c r="R39" s="4" cm="1" t="str">
        <f t="array" ref="R39">IF(C39="","",ROUND(Q39/1000000,3)&amp;" M€")</f>
        <v>0 M€</v>
      </c>
      <c r="S39" s="12">
        <v>10</v>
      </c>
      <c r="T39" s="4" cm="1" t="str">
        <f t="array" ref="T39">IF(C39="","",SUBSTITUTE(S39,"","")&amp;"%")</f>
        <v>10%</v>
      </c>
      <c r="U39" s="4" cm="1" t="str">
        <f t="array" ref="U39">IF(($N39="")*($P39=""),"",IF(($N39&lt;&gt;"")*($N39&gt;TODAY()-9)*($N39&lt;TODAY()+1)*($P39&lt;&gt;"")*($P39&gt;=TODAY())*($P39&lt;=TODAY()+13),"Semaine passée &amp; à venir",IF(($N39&lt;&gt;"")*($N39&gt;TODAY()-9)*($N39&lt;TODAY()+1),"Semaine passée",IF(($P39&lt;&gt;"")*($P39&gt;=TODAY())*($P39&lt;=TODAY()+13),"À venir","Autre"))))</f>
        <v>Autre</v>
      </c>
      <c r="V39" cm="1" t="n">
        <f t="array" ref="V39">IF(C39&lt;&gt;"",1,0)</f>
        <v>1</v>
      </c>
    </row>
    <row r="40" ht="78.75" customHeight="1">
      <c r="A40" s="4" t="s">
        <v>23</v>
      </c>
      <c r="B40" s="4" t="s">
        <v>140</v>
      </c>
      <c r="C40" s="8" t="s">
        <v>141</v>
      </c>
      <c r="D40" s="8" t="s">
        <v>142</v>
      </c>
      <c r="E40" s="4" t="s">
        <v>26</v>
      </c>
      <c r="F40" t="s">
        <v>143</v>
      </c>
      <c r="G40" s="9" cm="1" t="str">
        <f t="array" ref="G40">IF(F40="","",SUBSTITUTE(SUBSTITUTE(SUBSTITUTE(SUBSTITUTE(F40,"&lt;li&gt;",CHAR(10)),"&lt;/li&gt;",""),"&lt;br&gt;",CHAR(10)),"&lt;strong&gt;",""))</f>
        <v>&lt;p&gt;03/02/2026: Point offre remploi. Prévu: petit-déjeuner fonds remploi/deeptech. Tentative d'enrichissement lead échouée (email invalide). Nouvelle piste créée pour équipe Ventes. Prochaine étape: organiser petit-déjeuner thématique. Pas de retour prospect sur fonds à ce stade.&lt;/p&gt;</v>
      </c>
      <c r="H40" s="9" cm="1" t="str">
        <f t="array" ref="H40">IF(G40="","",SUBSTITUTE(SUBSTITUTE(SUBSTITUTE(SUBSTITUTE(SUBSTITUTE(G40,"&lt;p&gt;",""),"&lt;/p&gt;",""),"&lt;ul&gt;",""),"&lt;/ul&gt;",""),"&lt;/strong&gt;",""))</f>
        <v>03/02/2026: Point offre remploi. Prévu: petit-déjeuner fonds remploi/deeptech. Tentative d'enrichissement lead échouée (email invalide). Nouvelle piste créée pour équipe Ventes. Prochaine étape: organiser petit-déjeuner thématique. Pas de retour prospect sur fonds à ce stade.</v>
      </c>
      <c r="I40" s="9" cm="1" t="str">
        <f t="array" ref="I40">IF(C40="","",IF(OR(H40="",H40=0,H40=FALSE),"-",H40))</f>
        <v>03/02/2026: Point offre remploi. Prévu: petit-déjeuner fonds remploi/deeptech. Tentative d'enrichissement lead échouée (email invalide). Nouvelle piste créée pour équipe Ventes. Prochaine étape: organiser petit-déjeuner thématique. Pas de retour prospect sur fonds à ce stade.</v>
      </c>
      <c r="J40">
</c>
      <c r="K40" s="4" t="s">
        <v>44</v>
      </c>
      <c r="L40" s="4" cm="1" t="str">
        <f t="array" ref="L40">IF(C40="","",IF(K40="Mort / Plus rien à faire","KO","OK"))</f>
        <v>OK</v>
      </c>
      <c r="M40" s="10">
        <v>46063.47033564815</v>
      </c>
      <c r="N40" s="10" cm="1" t="n">
        <f t="array" ref="N40">IF(OR(C40="",M40="",M40=0),"",M40)</f>
        <v>46063.47033564815</v>
      </c>
      <c r="O40" s="10">
</c>
      <c r="P40" s="10" cm="1" t="str">
        <f t="array" ref="P40">IF(C40="","",IF(OR(O40="",O40=0),"-",O40))</f>
        <v>-</v>
      </c>
      <c r="Q40" s="11">
        <v>0</v>
      </c>
      <c r="R40" s="4" cm="1" t="str">
        <f t="array" ref="R40">IF(C40="","",ROUND(Q40/1000000,3)&amp;" M€")</f>
        <v>0 M€</v>
      </c>
      <c r="S40" s="12">
        <v>10</v>
      </c>
      <c r="T40" s="4" cm="1" t="str">
        <f t="array" ref="T40">IF(C40="","",SUBSTITUTE(S40,"","")&amp;"%")</f>
        <v>10%</v>
      </c>
      <c r="U40" s="4" cm="1" t="str">
        <f t="array" ref="U40">IF(($N40="")*($P40=""),"",IF(($N40&lt;&gt;"")*($N40&gt;TODAY()-9)*($N40&lt;TODAY()+1)*($P40&lt;&gt;"")*($P40&gt;=TODAY())*($P40&lt;=TODAY()+13),"Semaine passée &amp; à venir",IF(($N40&lt;&gt;"")*($N40&gt;TODAY()-9)*($N40&lt;TODAY()+1),"Semaine passée",IF(($P40&lt;&gt;"")*($P40&gt;=TODAY())*($P40&lt;=TODAY()+13),"À venir","Autre"))))</f>
        <v>Autre</v>
      </c>
      <c r="V40" cm="1" t="n">
        <f t="array" ref="V40">IF(C40&lt;&gt;"",1,0)</f>
        <v>1</v>
      </c>
    </row>
    <row r="41" ht="78.75" customHeight="1">
      <c r="A41" s="4" t="s">
        <v>23</v>
      </c>
      <c r="B41" s="4" t="s">
        <v>68</v>
      </c>
      <c r="C41" s="8" t="s">
        <v>144</v>
      </c>
      <c r="D41" s="8" t="s">
        <v>145</v>
      </c>
      <c r="E41" s="4" t="s">
        <v>26</v>
      </c>
      <c r="F41" t="s">
        <v>146</v>
      </c>
      <c r="G41" s="9" cm="1" t="str">
        <f t="array" ref="G41">IF(F41="","",SUBSTITUTE(SUBSTITUTE(SUBSTITUTE(SUBSTITUTE(F41,"&lt;li&gt;",CHAR(10)),"&lt;/li&gt;",""),"&lt;br&gt;",CHAR(10)),"&lt;strong&gt;",""))</f>
        <v>&lt;p&gt;Point actu sur fonds deeptech, docs à envoyer pour alimenter. Tentative d'enrichissement lead échouée (email invalide). Nouvelle piste créée pour équipe Ventes. Prochaine étape : envoi de documentation. Pas d'autres actions ou retours prospects mentionnés.&lt;/p&gt;</v>
      </c>
      <c r="H41" s="9" cm="1" t="str">
        <f t="array" ref="H41">IF(G41="","",SUBSTITUTE(SUBSTITUTE(SUBSTITUTE(SUBSTITUTE(SUBSTITUTE(G41,"&lt;p&gt;",""),"&lt;/p&gt;",""),"&lt;ul&gt;",""),"&lt;/ul&gt;",""),"&lt;/strong&gt;",""))</f>
        <v>Point actu sur fonds deeptech, docs à envoyer pour alimenter. Tentative d'enrichissement lead échouée (email invalide). Nouvelle piste créée pour équipe Ventes. Prochaine étape : envoi de documentation. Pas d'autres actions ou retours prospects mentionnés.</v>
      </c>
      <c r="I41" s="9" cm="1" t="str">
        <f t="array" ref="I41">IF(C41="","",IF(OR(H41="",H41=0,H41=FALSE),"-",H41))</f>
        <v>Point actu sur fonds deeptech, docs à envoyer pour alimenter. Tentative d'enrichissement lead échouée (email invalide). Nouvelle piste créée pour équipe Ventes. Prochaine étape : envoi de documentation. Pas d'autres actions ou retours prospects mentionnés.</v>
      </c>
      <c r="J41">
</c>
      <c r="K41" s="4" t="s">
        <v>44</v>
      </c>
      <c r="L41" s="4" cm="1" t="str">
        <f t="array" ref="L41">IF(C41="","",IF(K41="Mort / Plus rien à faire","KO","OK"))</f>
        <v>OK</v>
      </c>
      <c r="M41" s="10">
        <v>46050.693333333336</v>
      </c>
      <c r="N41" s="10" cm="1" t="n">
        <f t="array" ref="N41">IF(OR(C41="",M41="",M41=0),"",M41)</f>
        <v>46050.693333333336</v>
      </c>
      <c r="O41" s="10">
</c>
      <c r="P41" s="10" cm="1" t="str">
        <f t="array" ref="P41">IF(C41="","",IF(OR(O41="",O41=0),"-",O41))</f>
        <v>-</v>
      </c>
      <c r="Q41" s="11">
        <v>0</v>
      </c>
      <c r="R41" s="4" cm="1" t="str">
        <f t="array" ref="R41">IF(C41="","",ROUND(Q41/1000000,3)&amp;" M€")</f>
        <v>0 M€</v>
      </c>
      <c r="S41" s="12">
        <v>10</v>
      </c>
      <c r="T41" s="4" cm="1" t="str">
        <f t="array" ref="T41">IF(C41="","",SUBSTITUTE(S41,"","")&amp;"%")</f>
        <v>10%</v>
      </c>
      <c r="U41" s="4" cm="1" t="str">
        <f t="array" ref="U41">IF(($N41="")*($P41=""),"",IF(($N41&lt;&gt;"")*($N41&gt;TODAY()-9)*($N41&lt;TODAY()+1)*($P41&lt;&gt;"")*($P41&gt;=TODAY())*($P41&lt;=TODAY()+13),"Semaine passée &amp; à venir",IF(($N41&lt;&gt;"")*($N41&gt;TODAY()-9)*($N41&lt;TODAY()+1),"Semaine passée",IF(($P41&lt;&gt;"")*($P41&gt;=TODAY())*($P41&lt;=TODAY()+13),"À venir","Autre"))))</f>
        <v>Autre</v>
      </c>
      <c r="V41" cm="1" t="n">
        <f t="array" ref="V41">IF(C41&lt;&gt;"",1,0)</f>
        <v>1</v>
      </c>
    </row>
    <row r="42" ht="78.75" customHeight="1">
      <c r="A42" s="4" t="s">
        <v>23</v>
      </c>
      <c r="B42" s="4" t="s">
        <v>31</v>
      </c>
      <c r="C42" s="8" t="s">
        <v>147</v>
      </c>
      <c r="D42" s="8" t="s">
        <v>148</v>
      </c>
      <c r="E42" s="4" t="s">
        <v>26</v>
      </c>
      <c r="F42" t="s">
        <v>149</v>
      </c>
      <c r="G42" s="9" cm="1" t="str">
        <f t="array" ref="G42">IF(F42="","",SUBSTITUTE(SUBSTITUTE(SUBSTITUTE(SUBSTITUTE(F42,"&lt;li&gt;",CHAR(10)),"&lt;/li&gt;",""),"&lt;br&gt;",CHAR(10)),"&lt;strong&gt;",""))</f>
        <v>&lt;p&gt;Point fonds deeptech et remploi clients évoqué 28/01. Tentative enrichissement lead échouée (email invalide). Nouvelle piste créée équipe Ventes. Pas d'activité ou d'échange prospect/équipe détecté depuis, ni prochaines étapes identifiées.&lt;/p&gt;</v>
      </c>
      <c r="H42" s="9" cm="1" t="str">
        <f t="array" ref="H42">IF(G42="","",SUBSTITUTE(SUBSTITUTE(SUBSTITUTE(SUBSTITUTE(SUBSTITUTE(G42,"&lt;p&gt;",""),"&lt;/p&gt;",""),"&lt;ul&gt;",""),"&lt;/ul&gt;",""),"&lt;/strong&gt;",""))</f>
        <v>Point fonds deeptech et remploi clients évoqué 28/01. Tentative enrichissement lead échouée (email invalide). Nouvelle piste créée équipe Ventes. Pas d'activité ou d'échange prospect/équipe détecté depuis, ni prochaines étapes identifiées.</v>
      </c>
      <c r="I42" s="9" cm="1" t="str">
        <f t="array" ref="I42">IF(C42="","",IF(OR(H42="",H42=0,H42=FALSE),"-",H42))</f>
        <v>Point fonds deeptech et remploi clients évoqué 28/01. Tentative enrichissement lead échouée (email invalide). Nouvelle piste créée équipe Ventes. Pas d'activité ou d'échange prospect/équipe détecté depuis, ni prochaines étapes identifiées.</v>
      </c>
      <c r="J42">
</c>
      <c r="K42" s="4" t="s">
        <v>44</v>
      </c>
      <c r="L42" s="4" cm="1" t="str">
        <f t="array" ref="L42">IF(C42="","",IF(K42="Mort / Plus rien à faire","KO","OK"))</f>
        <v>OK</v>
      </c>
      <c r="M42" s="10">
        <v>46050.695381944446</v>
      </c>
      <c r="N42" s="10" cm="1" t="n">
        <f t="array" ref="N42">IF(OR(C42="",M42="",M42=0),"",M42)</f>
        <v>46050.695381944446</v>
      </c>
      <c r="O42" s="10">
</c>
      <c r="P42" s="10" cm="1" t="str">
        <f t="array" ref="P42">IF(C42="","",IF(OR(O42="",O42=0),"-",O42))</f>
        <v>-</v>
      </c>
      <c r="Q42" s="11">
        <v>0</v>
      </c>
      <c r="R42" s="4" cm="1" t="str">
        <f t="array" ref="R42">IF(C42="","",ROUND(Q42/1000000,3)&amp;" M€")</f>
        <v>0 M€</v>
      </c>
      <c r="S42" s="12">
        <v>10</v>
      </c>
      <c r="T42" s="4" cm="1" t="str">
        <f t="array" ref="T42">IF(C42="","",SUBSTITUTE(S42,"","")&amp;"%")</f>
        <v>10%</v>
      </c>
      <c r="U42" s="4" cm="1" t="str">
        <f t="array" ref="U42">IF(($N42="")*($P42=""),"",IF(($N42&lt;&gt;"")*($N42&gt;TODAY()-9)*($N42&lt;TODAY()+1)*($P42&lt;&gt;"")*($P42&gt;=TODAY())*($P42&lt;=TODAY()+13),"Semaine passée &amp; à venir",IF(($N42&lt;&gt;"")*($N42&gt;TODAY()-9)*($N42&lt;TODAY()+1),"Semaine passée",IF(($P42&lt;&gt;"")*($P42&gt;=TODAY())*($P42&lt;=TODAY()+13),"À venir","Autre"))))</f>
        <v>Autre</v>
      </c>
      <c r="V42" cm="1" t="n">
        <f t="array" ref="V42">IF(C42&lt;&gt;"",1,0)</f>
        <v>1</v>
      </c>
    </row>
    <row r="43" ht="78.75" customHeight="1">
      <c r="A43" s="4" t="s">
        <v>23</v>
      </c>
      <c r="B43" s="4" t="s">
        <v>38</v>
      </c>
      <c r="C43" s="8" t="s">
        <v>150</v>
      </c>
      <c r="D43" s="8" t="s">
        <v>151</v>
      </c>
      <c r="E43" s="4" t="s">
        <v>26</v>
      </c>
      <c r="F43" t="s">
        <v>152</v>
      </c>
      <c r="G43" s="9" cm="1" t="str">
        <f t="array" ref="G43">IF(F43="","",SUBSTITUTE(SUBSTITUTE(SUBSTITUTE(SUBSTITUTE(F43,"&lt;li&gt;",CHAR(10)),"&lt;/li&gt;",""),"&lt;br&gt;",CHAR(10)),"&lt;strong&gt;",""))</f>
        <v>&lt;p&gt;Piste créée équipe Ventes. Enrichissement lead impossible (email invalide). Action prévue&amp;nbsp;: organiser petit déjeuner avec clients. Pas d'autres activités ni retours prospects sur fonds. Prochaine étape&amp;nbsp;: planification petit déjeuner. Aucun passage en comité mentionné.&lt;/p&gt;</v>
      </c>
      <c r="H43" s="9" cm="1" t="str">
        <f t="array" ref="H43">IF(G43="","",SUBSTITUTE(SUBSTITUTE(SUBSTITUTE(SUBSTITUTE(SUBSTITUTE(G43,"&lt;p&gt;",""),"&lt;/p&gt;",""),"&lt;ul&gt;",""),"&lt;/ul&gt;",""),"&lt;/strong&gt;",""))</f>
        <v>Piste créée équipe Ventes. Enrichissement lead impossible (email invalide). Action prévue&amp;nbsp;: organiser petit déjeuner avec clients. Pas d'autres activités ni retours prospects sur fonds. Prochaine étape&amp;nbsp;: planification petit déjeuner. Aucun passage en comité mentionné.</v>
      </c>
      <c r="I43" s="9" cm="1" t="str">
        <f t="array" ref="I43">IF(C43="","",IF(OR(H43="",H43=0,H43=FALSE),"-",H43))</f>
        <v>Piste créée équipe Ventes. Enrichissement lead impossible (email invalide). Action prévue&amp;nbsp;: organiser petit déjeuner avec clients. Pas d'autres activités ni retours prospects sur fonds. Prochaine étape&amp;nbsp;: planification petit déjeuner. Aucun passage en comité mentionné.</v>
      </c>
      <c r="J43">
</c>
      <c r="K43" s="4" t="s">
        <v>44</v>
      </c>
      <c r="L43" s="4" cm="1" t="str">
        <f t="array" ref="L43">IF(C43="","",IF(K43="Mort / Plus rien à faire","KO","OK"))</f>
        <v>OK</v>
      </c>
      <c r="M43" s="10">
        <v>46050.6997337963</v>
      </c>
      <c r="N43" s="10" cm="1" t="n">
        <f t="array" ref="N43">IF(OR(C43="",M43="",M43=0),"",M43)</f>
        <v>46050.6997337963</v>
      </c>
      <c r="O43" s="10">
</c>
      <c r="P43" s="10" cm="1" t="str">
        <f t="array" ref="P43">IF(C43="","",IF(OR(O43="",O43=0),"-",O43))</f>
        <v>-</v>
      </c>
      <c r="Q43" s="11">
        <v>0</v>
      </c>
      <c r="R43" s="4" cm="1" t="str">
        <f t="array" ref="R43">IF(C43="","",ROUND(Q43/1000000,3)&amp;" M€")</f>
        <v>0 M€</v>
      </c>
      <c r="S43" s="12">
        <v>10</v>
      </c>
      <c r="T43" s="4" cm="1" t="str">
        <f t="array" ref="T43">IF(C43="","",SUBSTITUTE(S43,"","")&amp;"%")</f>
        <v>10%</v>
      </c>
      <c r="U43" s="4" cm="1" t="str">
        <f t="array" ref="U43">IF(($N43="")*($P43=""),"",IF(($N43&lt;&gt;"")*($N43&gt;TODAY()-9)*($N43&lt;TODAY()+1)*($P43&lt;&gt;"")*($P43&gt;=TODAY())*($P43&lt;=TODAY()+13),"Semaine passée &amp; à venir",IF(($N43&lt;&gt;"")*($N43&gt;TODAY()-9)*($N43&lt;TODAY()+1),"Semaine passée",IF(($P43&lt;&gt;"")*($P43&gt;=TODAY())*($P43&lt;=TODAY()+13),"À venir","Autre"))))</f>
        <v>Autre</v>
      </c>
      <c r="V43" cm="1" t="n">
        <f t="array" ref="V43">IF(C43&lt;&gt;"",1,0)</f>
        <v>1</v>
      </c>
    </row>
    <row r="44" ht="78.75" customHeight="1">
      <c r="A44" s="4" t="s">
        <v>23</v>
      </c>
      <c r="B44" s="4" t="s">
        <v>83</v>
      </c>
      <c r="C44" s="8" t="s">
        <v>153</v>
      </c>
      <c r="D44" s="8" t="s">
        <v>154</v>
      </c>
      <c r="E44" s="4" t="s">
        <v>26</v>
      </c>
      <c r="F44" t="s">
        <v>155</v>
      </c>
      <c r="G44" s="9" cm="1" t="str">
        <f t="array" ref="G44">IF(F44="","",SUBSTITUTE(SUBSTITUTE(SUBSTITUTE(SUBSTITUTE(F44,"&lt;li&gt;",CHAR(10)),"&lt;/li&gt;",""),"&lt;br&gt;",CHAR(10)),"&lt;strong&gt;",""))</f>
        <v>&lt;p&gt;Nouvelle piste créée pour équipe Ventes. Discussion reprise sur fonds Audacia, pas d'enrichissement possible (email non valide). Aucune activité ou action complémentaire enregistrée, pas de prochaines étapes identifiées à ce stade.&lt;/p&gt;</v>
      </c>
      <c r="H44" s="9" cm="1" t="str">
        <f t="array" ref="H44">IF(G44="","",SUBSTITUTE(SUBSTITUTE(SUBSTITUTE(SUBSTITUTE(SUBSTITUTE(G44,"&lt;p&gt;",""),"&lt;/p&gt;",""),"&lt;ul&gt;",""),"&lt;/ul&gt;",""),"&lt;/strong&gt;",""))</f>
        <v>Nouvelle piste créée pour équipe Ventes. Discussion reprise sur fonds Audacia, pas d'enrichissement possible (email non valide). Aucune activité ou action complémentaire enregistrée, pas de prochaines étapes identifiées à ce stade.</v>
      </c>
      <c r="I44" s="9" cm="1" t="str">
        <f t="array" ref="I44">IF(C44="","",IF(OR(H44="",H44=0,H44=FALSE),"-",H44))</f>
        <v>Nouvelle piste créée pour équipe Ventes. Discussion reprise sur fonds Audacia, pas d'enrichissement possible (email non valide). Aucune activité ou action complémentaire enregistrée, pas de prochaines étapes identifiées à ce stade.</v>
      </c>
      <c r="J44">
</c>
      <c r="K44" s="4" t="s">
        <v>44</v>
      </c>
      <c r="L44" s="4" cm="1" t="str">
        <f t="array" ref="L44">IF(C44="","",IF(K44="Mort / Plus rien à faire","KO","OK"))</f>
        <v>OK</v>
      </c>
      <c r="M44" s="10">
        <v>46050.702569444446</v>
      </c>
      <c r="N44" s="10" cm="1" t="n">
        <f t="array" ref="N44">IF(OR(C44="",M44="",M44=0),"",M44)</f>
        <v>46050.702569444446</v>
      </c>
      <c r="O44" s="10">
</c>
      <c r="P44" s="10" cm="1" t="str">
        <f t="array" ref="P44">IF(C44="","",IF(OR(O44="",O44=0),"-",O44))</f>
        <v>-</v>
      </c>
      <c r="Q44" s="11">
        <v>0</v>
      </c>
      <c r="R44" s="4" cm="1" t="str">
        <f t="array" ref="R44">IF(C44="","",ROUND(Q44/1000000,3)&amp;" M€")</f>
        <v>0 M€</v>
      </c>
      <c r="S44" s="12">
        <v>10</v>
      </c>
      <c r="T44" s="4" cm="1" t="str">
        <f t="array" ref="T44">IF(C44="","",SUBSTITUTE(S44,"","")&amp;"%")</f>
        <v>10%</v>
      </c>
      <c r="U44" s="4" cm="1" t="str">
        <f t="array" ref="U44">IF(($N44="")*($P44=""),"",IF(($N44&lt;&gt;"")*($N44&gt;TODAY()-9)*($N44&lt;TODAY()+1)*($P44&lt;&gt;"")*($P44&gt;=TODAY())*($P44&lt;=TODAY()+13),"Semaine passée &amp; à venir",IF(($N44&lt;&gt;"")*($N44&gt;TODAY()-9)*($N44&lt;TODAY()+1),"Semaine passée",IF(($P44&lt;&gt;"")*($P44&gt;=TODAY())*($P44&lt;=TODAY()+13),"À venir","Autre"))))</f>
        <v>Autre</v>
      </c>
      <c r="V44" cm="1" t="n">
        <f t="array" ref="V44">IF(C44&lt;&gt;"",1,0)</f>
        <v>1</v>
      </c>
    </row>
    <row r="45" ht="78.75" customHeight="1">
      <c r="A45" s="4" t="s">
        <v>23</v>
      </c>
      <c r="B45" s="4" t="s">
        <v>38</v>
      </c>
      <c r="C45" s="8" t="s">
        <v>156</v>
      </c>
      <c r="D45" s="8" t="s">
        <v>157</v>
      </c>
      <c r="E45" s="4" t="s">
        <v>26</v>
      </c>
      <c r="F45" t="s">
        <v>158</v>
      </c>
      <c r="G45" s="9" cm="1" t="str">
        <f t="array" ref="G45">IF(F45="","",SUBSTITUTE(SUBSTITUTE(SUBSTITUTE(SUBSTITUTE(F45,"&lt;li&gt;",CHAR(10)),"&lt;/li&gt;",""),"&lt;br&gt;",CHAR(10)),"&lt;strong&gt;",""))</f>
        <v>&lt;p&gt;25/02/26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prévue.&lt;/p&gt;</v>
      </c>
      <c r="H45" s="9" cm="1" t="str">
        <f t="array" ref="H45">IF(G45="","",SUBSTITUTE(SUBSTITUTE(SUBSTITUTE(SUBSTITUTE(SUBSTITUTE(G45,"&lt;p&gt;",""),"&lt;/p&gt;",""),"&lt;ul&gt;",""),"&lt;/ul&gt;",""),"&lt;/strong&gt;",""))</f>
        <v>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v>
      </c>
      <c r="I45" s="9" cm="1" t="str">
        <f t="array" ref="I45">IF(C45="","",IF(OR(H45="",H45=0,H45=FALSE),"-",H45))</f>
        <v>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v>
      </c>
      <c r="J45">
</c>
      <c r="K45" s="4" t="s">
        <v>44</v>
      </c>
      <c r="L45" s="4" cm="1" t="str">
        <f t="array" ref="L45">IF(C45="","",IF(K45="Mort / Plus rien à faire","KO","OK"))</f>
        <v>OK</v>
      </c>
      <c r="M45" s="10">
        <v>46083.467465277776</v>
      </c>
      <c r="N45" s="10" cm="1" t="n">
        <f t="array" ref="N45">IF(OR(C45="",M45="",M45=0),"",M45)</f>
        <v>46083.467465277776</v>
      </c>
      <c r="O45" s="10">
</c>
      <c r="P45" s="10" cm="1" t="str">
        <f t="array" ref="P45">IF(C45="","",IF(OR(O45="",O45=0),"-",O45))</f>
        <v>-</v>
      </c>
      <c r="Q45" s="11">
        <v>0</v>
      </c>
      <c r="R45" s="4" cm="1" t="str">
        <f t="array" ref="R45">IF(C45="","",ROUND(Q45/1000000,3)&amp;" M€")</f>
        <v>0 M€</v>
      </c>
      <c r="S45" s="12">
        <v>10</v>
      </c>
      <c r="T45" s="4" cm="1" t="str">
        <f t="array" ref="T45">IF(C45="","",SUBSTITUTE(S45,"","")&amp;"%")</f>
        <v>10%</v>
      </c>
      <c r="U45" s="4" cm="1" t="str">
        <f t="array" ref="U45">IF(($N45="")*($P45=""),"",IF(($N45&lt;&gt;"")*($N45&gt;TODAY()-9)*($N45&lt;TODAY()+1)*($P45&lt;&gt;"")*($P45&gt;=TODAY())*($P45&lt;=TODAY()+13),"Semaine passée &amp; à venir",IF(($N45&lt;&gt;"")*($N45&gt;TODAY()-9)*($N45&lt;TODAY()+1),"Semaine passée",IF(($P45&lt;&gt;"")*($P45&gt;=TODAY())*($P45&lt;=TODAY()+13),"À venir","Autre"))))</f>
        <v>Semaine passée</v>
      </c>
      <c r="V45" cm="1" t="n">
        <f t="array" ref="V45">IF(C45&lt;&gt;"",1,0)</f>
        <v>1</v>
      </c>
    </row>
    <row r="46" ht="78.75" customHeight="1">
      <c r="A46" s="4" t="s">
        <v>23</v>
      </c>
      <c r="B46" s="4" t="s">
        <v>31</v>
      </c>
      <c r="C46" s="8" t="s">
        <v>159</v>
      </c>
      <c r="D46" s="8" t="s">
        <v>160</v>
      </c>
      <c r="E46" s="4" t="s">
        <v>26</v>
      </c>
      <c r="F46" t="s">
        <v>161</v>
      </c>
      <c r="G46" s="9" cm="1" t="str">
        <f t="array" ref="G46">IF(F46="","",SUBSTITUTE(SUBSTITUTE(SUBSTITUTE(SUBSTITUTE(F46,"&lt;li&gt;",CHAR(10)),"&lt;/li&gt;",""),"&lt;br&gt;",CHAR(10)),"&lt;strong&gt;",""))</f>
        <v>&lt;p&gt;Piste créée équipe Ventes. Demande point sur offre remploi Audacia. Tentative enrichissement lead échouée (email invalide). Pas d'autres actions ni retours prospects. Prochaine étape : organiser un point sur l'offre remploi Audacia si souhaité par le prospect.&lt;/p&gt;</v>
      </c>
      <c r="H46" s="9" cm="1" t="str">
        <f t="array" ref="H46">IF(G46="","",SUBSTITUTE(SUBSTITUTE(SUBSTITUTE(SUBSTITUTE(SUBSTITUTE(G46,"&lt;p&gt;",""),"&lt;/p&gt;",""),"&lt;ul&gt;",""),"&lt;/ul&gt;",""),"&lt;/strong&gt;",""))</f>
        <v>Piste créée équipe Ventes. Demande point sur offre remploi Audacia. Tentative enrichissement lead échouée (email invalide). Pas d'autres actions ni retours prospects. Prochaine étape : organiser un point sur l'offre remploi Audacia si souhaité par le prospect.</v>
      </c>
      <c r="I46" s="9" cm="1" t="str">
        <f t="array" ref="I46">IF(C46="","",IF(OR(H46="",H46=0,H46=FALSE),"-",H46))</f>
        <v>Piste créée équipe Ventes. Demande point sur offre remploi Audacia. Tentative enrichissement lead échouée (email invalide). Pas d'autres actions ni retours prospects. Prochaine étape : organiser un point sur l'offre remploi Audacia si souhaité par le prospect.</v>
      </c>
      <c r="J46">
</c>
      <c r="K46" s="4" t="s">
        <v>59</v>
      </c>
      <c r="L46" s="4" cm="1" t="str">
        <f t="array" ref="L46">IF(C46="","",IF(K46="Mort / Plus rien à faire","KO","OK"))</f>
        <v>OK</v>
      </c>
      <c r="M46" s="10">
        <v>46084.448842592596</v>
      </c>
      <c r="N46" s="10" cm="1" t="n">
        <f t="array" ref="N46">IF(OR(C46="",M46="",M46=0),"",M46)</f>
        <v>46084.448842592596</v>
      </c>
      <c r="O46" s="10">
</c>
      <c r="P46" s="10" cm="1" t="str">
        <f t="array" ref="P46">IF(C46="","",IF(OR(O46="",O46=0),"-",O46))</f>
        <v>-</v>
      </c>
      <c r="Q46" s="11">
        <v>0</v>
      </c>
      <c r="R46" s="4" cm="1" t="str">
        <f t="array" ref="R46">IF(C46="","",ROUND(Q46/1000000,3)&amp;" M€")</f>
        <v>0 M€</v>
      </c>
      <c r="S46" s="12">
        <v>10</v>
      </c>
      <c r="T46" s="4" cm="1" t="str">
        <f t="array" ref="T46">IF(C46="","",SUBSTITUTE(S46,"","")&amp;"%")</f>
        <v>10%</v>
      </c>
      <c r="U46" s="4" cm="1" t="str">
        <f t="array" ref="U46">IF(($N46="")*($P46=""),"",IF(($N46&lt;&gt;"")*($N46&gt;TODAY()-9)*($N46&lt;TODAY()+1)*($P46&lt;&gt;"")*($P46&gt;=TODAY())*($P46&lt;=TODAY()+13),"Semaine passée &amp; à venir",IF(($N46&lt;&gt;"")*($N46&gt;TODAY()-9)*($N46&lt;TODAY()+1),"Semaine passée",IF(($P46&lt;&gt;"")*($P46&gt;=TODAY())*($P46&lt;=TODAY()+13),"À venir","Autre"))))</f>
        <v>Semaine passée</v>
      </c>
      <c r="V46" cm="1" t="n">
        <f t="array" ref="V46">IF(C46&lt;&gt;"",1,0)</f>
        <v>1</v>
      </c>
    </row>
    <row r="47" ht="78.75" customHeight="1">
      <c r="A47" s="4" t="s">
        <v>23</v>
      </c>
      <c r="B47" s="4" t="s">
        <v>38</v>
      </c>
      <c r="C47" s="8" t="s">
        <v>162</v>
      </c>
      <c r="D47" s="8" t="s">
        <v>163</v>
      </c>
      <c r="E47" s="4" t="s">
        <v>26</v>
      </c>
      <c r="F47" t="s">
        <v>164</v>
      </c>
      <c r="G47" s="9" cm="1" t="str">
        <f t="array" ref="G47">IF(F47="","",SUBSTITUTE(SUBSTITUTE(SUBSTITUTE(SUBSTITUTE(F47,"&lt;li&gt;",CHAR(10)),"&lt;/li&gt;",""),"&lt;br&gt;",CHAR(10)),"&lt;strong&gt;",""))</f>
        <v>&lt;p&gt;Présentation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définies.&lt;/p&gt;</v>
      </c>
      <c r="H47" s="9" cm="1" t="str">
        <f t="array" ref="H47">IF(G47="","",SUBSTITUTE(SUBSTITUTE(SUBSTITUTE(SUBSTITUTE(SUBSTITUTE(G47,"&lt;p&gt;",""),"&lt;/p&gt;",""),"&lt;ul&gt;",""),"&lt;/ul&gt;",""),"&lt;/strong&gt;",""))</f>
        <v>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v>
      </c>
      <c r="I47" s="9" cm="1" t="str">
        <f t="array" ref="I47">IF(C47="","",IF(OR(H47="",H47=0,H47=FALSE),"-",H47))</f>
        <v>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v>
      </c>
      <c r="J47">
</c>
      <c r="K47" s="4" t="s">
        <v>44</v>
      </c>
      <c r="L47" s="4" cm="1" t="str">
        <f t="array" ref="L47">IF(C47="","",IF(K47="Mort / Plus rien à faire","KO","OK"))</f>
        <v>OK</v>
      </c>
      <c r="M47" s="10">
        <v>46050.73570601852</v>
      </c>
      <c r="N47" s="10" cm="1" t="n">
        <f t="array" ref="N47">IF(OR(C47="",M47="",M47=0),"",M47)</f>
        <v>46050.73570601852</v>
      </c>
      <c r="O47" s="10">
</c>
      <c r="P47" s="10" cm="1" t="str">
        <f t="array" ref="P47">IF(C47="","",IF(OR(O47="",O47=0),"-",O47))</f>
        <v>-</v>
      </c>
      <c r="Q47" s="11">
        <v>0</v>
      </c>
      <c r="R47" s="4" cm="1" t="str">
        <f t="array" ref="R47">IF(C47="","",ROUND(Q47/1000000,3)&amp;" M€")</f>
        <v>0 M€</v>
      </c>
      <c r="S47" s="12">
        <v>10</v>
      </c>
      <c r="T47" s="4" cm="1" t="str">
        <f t="array" ref="T47">IF(C47="","",SUBSTITUTE(S47,"","")&amp;"%")</f>
        <v>10%</v>
      </c>
      <c r="U47" s="4" cm="1" t="str">
        <f t="array" ref="U47">IF(($N47="")*($P47=""),"",IF(($N47&lt;&gt;"")*($N47&gt;TODAY()-9)*($N47&lt;TODAY()+1)*($P47&lt;&gt;"")*($P47&gt;=TODAY())*($P47&lt;=TODAY()+13),"Semaine passée &amp; à venir",IF(($N47&lt;&gt;"")*($N47&gt;TODAY()-9)*($N47&lt;TODAY()+1),"Semaine passée",IF(($P47&lt;&gt;"")*($P47&gt;=TODAY())*($P47&lt;=TODAY()+13),"À venir","Autre"))))</f>
        <v>Autre</v>
      </c>
      <c r="V47" cm="1" t="n">
        <f t="array" ref="V47">IF(C47&lt;&gt;"",1,0)</f>
        <v>1</v>
      </c>
    </row>
    <row r="48" ht="78.75" customHeight="1">
      <c r="A48" s="4" t="s">
        <v>23</v>
      </c>
      <c r="B48" s="4" t="s">
        <v>165</v>
      </c>
      <c r="C48" s="8" t="s">
        <v>166</v>
      </c>
      <c r="D48" s="8" t="s">
        <v>167</v>
      </c>
      <c r="E48" s="4" t="s">
        <v>26</v>
      </c>
      <c r="F48" t="s">
        <v>168</v>
      </c>
      <c r="G48" s="9" cm="1" t="str">
        <f t="array" ref="G48">IF(F48="","",SUBSTITUTE(SUBSTITUTE(SUBSTITUTE(SUBSTITUTE(F48,"&lt;li&gt;",CHAR(10)),"&lt;/li&gt;",""),"&lt;br&gt;",CHAR(10)),"&lt;strong&gt;",""))</f>
        <v>&lt;p&gt;Présentation fonds remploi Audacia, prospect intéressé mais très occupé (études expatriation). Relances téléphoniques et café relance Arkwood Avocats le 25/02. Dernier appel le 06/03, prospect relancé mais toujours indisponible. Prochaine action&amp;nbsp;: prise de news prévue le 18/03.&lt;/p&gt;</v>
      </c>
      <c r="H48" s="9" cm="1" t="str">
        <f t="array" ref="H48">IF(G48="","",SUBSTITUTE(SUBSTITUTE(SUBSTITUTE(SUBSTITUTE(SUBSTITUTE(G48,"&lt;p&gt;",""),"&lt;/p&gt;",""),"&lt;ul&gt;",""),"&lt;/ul&gt;",""),"&lt;/strong&gt;",""))</f>
        <v>Présentation fonds remploi Audacia, prospect intéressé mais très occupé (études expatriation). Relances téléphoniques et café relance Arkwood Avocats le 25/02. Dernier appel le 06/03, prospect relancé mais toujours indisponible. Prochaine action&amp;nbsp;: prise de news prévue le 18/03.</v>
      </c>
      <c r="I48" s="9" cm="1" t="str">
        <f t="array" ref="I48">IF(C48="","",IF(OR(H48="",H48=0,H48=FALSE),"-",H48))</f>
        <v>Présentation fonds remploi Audacia, prospect intéressé mais très occupé (études expatriation). Relances téléphoniques et café relance Arkwood Avocats le 25/02. Dernier appel le 06/03, prospect relancé mais toujours indisponible. Prochaine action&amp;nbsp;: prise de news prévue le 18/03.</v>
      </c>
      <c r="J48" t="s">
        <v>169</v>
      </c>
      <c r="K48" s="4" t="s">
        <v>44</v>
      </c>
      <c r="L48" s="4" cm="1" t="str">
        <f t="array" ref="L48">IF(C48="","",IF(K48="Mort / Plus rien à faire","KO","OK"))</f>
        <v>OK</v>
      </c>
      <c r="M48" s="10">
        <v>46086.7059375</v>
      </c>
      <c r="N48" s="10" cm="1" t="n">
        <f t="array" ref="N48">IF(OR(C48="",M48="",M48=0),"",M48)</f>
        <v>46086.7059375</v>
      </c>
      <c r="O48" s="10">
        <v>46099.041666666664</v>
      </c>
      <c r="P48" s="10" cm="1" t="n">
        <f t="array" ref="P48">IF(C48="","",IF(OR(O48="",O48=0),"-",O48))</f>
        <v>46099.041666666664</v>
      </c>
      <c r="Q48" s="11">
        <v>0</v>
      </c>
      <c r="R48" s="4" cm="1" t="str">
        <f t="array" ref="R48">IF(C48="","",ROUND(Q48/1000000,3)&amp;" M€")</f>
        <v>0 M€</v>
      </c>
      <c r="S48" s="12">
        <v>10</v>
      </c>
      <c r="T48" s="4" cm="1" t="str">
        <f t="array" ref="T48">IF(C48="","",SUBSTITUTE(S48,"","")&amp;"%")</f>
        <v>10%</v>
      </c>
      <c r="U48" s="4" cm="1" t="str">
        <f t="array" ref="U48">IF(($N48="")*($P48=""),"",IF(($N48&lt;&gt;"")*($N48&gt;TODAY()-9)*($N48&lt;TODAY()+1)*($P48&lt;&gt;"")*($P48&gt;=TODAY())*($P48&lt;=TODAY()+13),"Semaine passée &amp; à venir",IF(($N48&lt;&gt;"")*($N48&gt;TODAY()-9)*($N48&lt;TODAY()+1),"Semaine passée",IF(($P48&lt;&gt;"")*($P48&gt;=TODAY())*($P48&lt;=TODAY()+13),"À venir","Autre"))))</f>
        <v>Semaine passée &amp; à venir</v>
      </c>
      <c r="V48" cm="1" t="n">
        <f t="array" ref="V48">IF(C48&lt;&gt;"",1,0)</f>
        <v>1</v>
      </c>
    </row>
    <row r="49" ht="78.75" customHeight="1">
      <c r="A49" s="4" t="s">
        <v>23</v>
      </c>
      <c r="B49" s="4" t="s">
        <v>24</v>
      </c>
      <c r="C49" s="8" t="s">
        <v>170</v>
      </c>
      <c r="D49" s="8" t="s">
        <v>171</v>
      </c>
      <c r="E49" s="4" t="s">
        <v>26</v>
      </c>
      <c r="F49" t="s">
        <v>172</v>
      </c>
      <c r="G49" s="9" cm="1" t="str">
        <f t="array" ref="G49">IF(F49="","",SUBSTITUTE(SUBSTITUTE(SUBSTITUTE(SUBSTITUTE(F49,"&lt;li&gt;",CHAR(10)),"&lt;/li&gt;",""),"&lt;br&gt;",CHAR(10)),"&lt;strong&gt;",""))</f>
        <v>&lt;p&gt;Déjeuner prévu 26/03 avec Famille Derville, participants Charles, Olivier. Aucun retour prospect ni décision sur fonds Quantonation II à ce stade. Historique : création piste, enrichissement lead impossible (email invalide). Prochaine étape : RDV physique, suivi post-déjeuner à prévoir.&lt;/p&gt;</v>
      </c>
      <c r="H49" s="9" cm="1" t="str">
        <f t="array" ref="H49">IF(G49="","",SUBSTITUTE(SUBSTITUTE(SUBSTITUTE(SUBSTITUTE(SUBSTITUTE(G49,"&lt;p&gt;",""),"&lt;/p&gt;",""),"&lt;ul&gt;",""),"&lt;/ul&gt;",""),"&lt;/strong&gt;",""))</f>
        <v>Déjeuner prévu 26/03 avec Famille Derville, participants Charles, Olivier. Aucun retour prospect ni décision sur fonds Quantonation II à ce stade. Historique : création piste, enrichissement lead impossible (email invalide). Prochaine étape : RDV physique, suivi post-déjeuner à prévoir.</v>
      </c>
      <c r="I49" s="9" cm="1" t="str">
        <f t="array" ref="I49">IF(C49="","",IF(OR(H49="",H49=0,H49=FALSE),"-",H49))</f>
        <v>Déjeuner prévu 26/03 avec Famille Derville, participants Charles, Olivier. Aucun retour prospect ni décision sur fonds Quantonation II à ce stade. Historique : création piste, enrichissement lead impossible (email invalide). Prochaine étape : RDV physique, suivi post-déjeuner à prévoir.</v>
      </c>
      <c r="J49" t="s">
        <v>173</v>
      </c>
      <c r="K49" s="4" t="s">
        <v>44</v>
      </c>
      <c r="L49" s="4" cm="1" t="str">
        <f t="array" ref="L49">IF(C49="","",IF(K49="Mort / Plus rien à faire","KO","OK"))</f>
        <v>OK</v>
      </c>
      <c r="M49" s="10">
        <v>46056.51684027778</v>
      </c>
      <c r="N49" s="10" cm="1" t="n">
        <f t="array" ref="N49">IF(OR(C49="",M49="",M49=0),"",M49)</f>
        <v>46056.51684027778</v>
      </c>
      <c r="O49" s="10">
        <v>46107.041666666664</v>
      </c>
      <c r="P49" s="10" cm="1" t="n">
        <f t="array" ref="P49">IF(C49="","",IF(OR(O49="",O49=0),"-",O49))</f>
        <v>46107.041666666664</v>
      </c>
      <c r="Q49" s="11">
        <v>0</v>
      </c>
      <c r="R49" s="4" cm="1" t="str">
        <f t="array" ref="R49">IF(C49="","",ROUND(Q49/1000000,3)&amp;" M€")</f>
        <v>0 M€</v>
      </c>
      <c r="S49" s="12">
        <v>10</v>
      </c>
      <c r="T49" s="4" cm="1" t="str">
        <f t="array" ref="T49">IF(C49="","",SUBSTITUTE(S49,"","")&amp;"%")</f>
        <v>10%</v>
      </c>
      <c r="U49" s="4" cm="1" t="str">
        <f t="array" ref="U49">IF(($N49="")*($P49=""),"",IF(($N49&lt;&gt;"")*($N49&gt;TODAY()-9)*($N49&lt;TODAY()+1)*($P49&lt;&gt;"")*($P49&gt;=TODAY())*($P49&lt;=TODAY()+13),"Semaine passée &amp; à venir",IF(($N49&lt;&gt;"")*($N49&gt;TODAY()-9)*($N49&lt;TODAY()+1),"Semaine passée",IF(($P49&lt;&gt;"")*($P49&gt;=TODAY())*($P49&lt;=TODAY()+13),"À venir","Autre"))))</f>
        <v>Autre</v>
      </c>
      <c r="V49" cm="1" t="n">
        <f t="array" ref="V49">IF(C49&lt;&gt;"",1,0)</f>
        <v>1</v>
      </c>
    </row>
    <row r="50" ht="78.75" customHeight="1">
      <c r="A50" s="4" t="s">
        <v>23</v>
      </c>
      <c r="B50" s="4" t="s">
        <v>47</v>
      </c>
      <c r="C50" s="8" t="s">
        <v>174</v>
      </c>
      <c r="D50" s="8" t="s">
        <v>175</v>
      </c>
      <c r="E50" s="4" t="s">
        <v>50</v>
      </c>
      <c r="F50" t="s">
        <v>176</v>
      </c>
      <c r="G50" s="9" cm="1" t="str">
        <f t="array" ref="G50">IF(F50="","",SUBSTITUTE(SUBSTITUTE(SUBSTITUTE(SUBSTITUTE(F50,"&lt;li&gt;",CHAR(10)),"&lt;/li&gt;",""),"&lt;br&gt;",CHAR(10)),"&lt;strong&gt;",""))</f>
        <v>&lt;p&gt;RDV physique Lyon 07/02/2026, axe Lyon-Genève développé, prospect souhaite accélérer action directe, référencement fonds jugé trop lent. RDV à caler à Lyon. Dernière relance faite, attente réponse. Prochaine étape : suivre retour prospect, deadline 13/03/2026.&lt;/p&gt;</v>
      </c>
      <c r="H50" s="9" cm="1" t="str">
        <f t="array" ref="H50">IF(G50="","",SUBSTITUTE(SUBSTITUTE(SUBSTITUTE(SUBSTITUTE(SUBSTITUTE(G50,"&lt;p&gt;",""),"&lt;/p&gt;",""),"&lt;ul&gt;",""),"&lt;/ul&gt;",""),"&lt;/strong&gt;",""))</f>
        <v>RDV physique Lyon 07/02/2026, axe Lyon-Genève développé, prospect souhaite accélérer action directe, référencement fonds jugé trop lent. RDV à caler à Lyon. Dernière relance faite, attente réponse. Prochaine étape : suivre retour prospect, deadline 13/03/2026.</v>
      </c>
      <c r="I50" s="9" cm="1" t="str">
        <f t="array" ref="I50">IF(C50="","",IF(OR(H50="",H50=0,H50=FALSE),"-",H50))</f>
        <v>RDV physique Lyon 07/02/2026, axe Lyon-Genève développé, prospect souhaite accélérer action directe, référencement fonds jugé trop lent. RDV à caler à Lyon. Dernière relance faite, attente réponse. Prochaine étape : suivre retour prospect, deadline 13/03/2026.</v>
      </c>
      <c r="J50" t="s">
        <v>177</v>
      </c>
      <c r="K50" s="4" t="s">
        <v>53</v>
      </c>
      <c r="L50" s="4" cm="1" t="str">
        <f t="array" ref="L50">IF(C50="","",IF(K50="Mort / Plus rien à faire","KO","OK"))</f>
        <v>OK</v>
      </c>
      <c r="M50" s="10">
        <v>46085.61672453704</v>
      </c>
      <c r="N50" s="10" cm="1" t="n">
        <f t="array" ref="N50">IF(OR(C50="",M50="",M50=0),"",M50)</f>
        <v>46085.61672453704</v>
      </c>
      <c r="O50" s="10">
</c>
      <c r="P50" s="10" cm="1" t="str">
        <f t="array" ref="P50">IF(C50="","",IF(OR(O50="",O50=0),"-",O50))</f>
        <v>-</v>
      </c>
      <c r="Q50" s="11">
        <v>0</v>
      </c>
      <c r="R50" s="4" cm="1" t="str">
        <f t="array" ref="R50">IF(C50="","",ROUND(Q50/1000000,3)&amp;" M€")</f>
        <v>0 M€</v>
      </c>
      <c r="S50" s="12">
        <v>10</v>
      </c>
      <c r="T50" s="4" cm="1" t="str">
        <f t="array" ref="T50">IF(C50="","",SUBSTITUTE(S50,"","")&amp;"%")</f>
        <v>10%</v>
      </c>
      <c r="U50" s="4" cm="1" t="str">
        <f t="array" ref="U50">IF(($N50="")*($P50=""),"",IF(($N50&lt;&gt;"")*($N50&gt;TODAY()-9)*($N50&lt;TODAY()+1)*($P50&lt;&gt;"")*($P50&gt;=TODAY())*($P50&lt;=TODAY()+13),"Semaine passée &amp; à venir",IF(($N50&lt;&gt;"")*($N50&gt;TODAY()-9)*($N50&lt;TODAY()+1),"Semaine passée",IF(($P50&lt;&gt;"")*($P50&gt;=TODAY())*($P50&lt;=TODAY()+13),"À venir","Autre"))))</f>
        <v>Semaine passée</v>
      </c>
      <c r="V50" cm="1" t="n">
        <f t="array" ref="V50">IF(C50&lt;&gt;"",1,0)</f>
        <v>1</v>
      </c>
    </row>
    <row r="51" ht="78.75" customHeight="1">
      <c r="A51" s="4" t="s">
        <v>23</v>
      </c>
      <c r="B51" s="4" t="s">
        <v>68</v>
      </c>
      <c r="C51" s="8" t="s">
        <v>178</v>
      </c>
      <c r="D51" s="8" t="s">
        <v>179</v>
      </c>
      <c r="E51" s="4" t="s">
        <v>50</v>
      </c>
      <c r="F51" t="s">
        <v>180</v>
      </c>
      <c r="G51" s="9" cm="1" t="str">
        <f t="array" ref="G51">IF(F51="","",SUBSTITUTE(SUBSTITUTE(SUBSTITUTE(SUBSTITUTE(F51,"&lt;li&gt;",CHAR(10)),"&lt;/li&gt;",""),"&lt;br&gt;",CHAR(10)),"&lt;strong&gt;",""))</f>
        <v>&lt;p&gt;Aucune activité ou échange significatif enregistré sur l'opportunité Hedon Family Office. Seule information : nouvelle piste créée pour l'équipe Ventes par Romain Andrieu le 10/02/2026. Aucun suivi, action ou retour prospect identifié à ce jour. Prochaines étapes non définies.&lt;/p&gt;</v>
      </c>
      <c r="H51" s="9" cm="1" t="str">
        <f t="array" ref="H51">IF(G51="","",SUBSTITUTE(SUBSTITUTE(SUBSTITUTE(SUBSTITUTE(SUBSTITUTE(G51,"&lt;p&gt;",""),"&lt;/p&gt;",""),"&lt;ul&gt;",""),"&lt;/ul&gt;",""),"&lt;/strong&gt;",""))</f>
        <v>Aucune activité ou échange significatif enregistré sur l'opportunité Hedon Family Office. Seule information : nouvelle piste créée pour l'équipe Ventes par Romain Andrieu le 10/02/2026. Aucun suivi, action ou retour prospect identifié à ce jour. Prochaines étapes non définies.</v>
      </c>
      <c r="I51" s="9" cm="1" t="str">
        <f t="array" ref="I51">IF(C51="","",IF(OR(H51="",H51=0,H51=FALSE),"-",H51))</f>
        <v>Aucune activité ou échange significatif enregistré sur l'opportunité Hedon Family Office. Seule information : nouvelle piste créée pour l'équipe Ventes par Romain Andrieu le 10/02/2026. Aucun suivi, action ou retour prospect identifié à ce jour. Prochaines étapes non définies.</v>
      </c>
      <c r="J51">
</c>
      <c r="K51" s="4" t="s">
        <v>44</v>
      </c>
      <c r="L51" s="4" cm="1" t="str">
        <f t="array" ref="L51">IF(C51="","",IF(K51="Mort / Plus rien à faire","KO","OK"))</f>
        <v>OK</v>
      </c>
      <c r="M51" s="10">
        <v>46063.36581018518</v>
      </c>
      <c r="N51" s="10" cm="1" t="n">
        <f t="array" ref="N51">IF(OR(C51="",M51="",M51=0),"",M51)</f>
        <v>46063.36581018518</v>
      </c>
      <c r="O51" s="10">
</c>
      <c r="P51" s="10" cm="1" t="str">
        <f t="array" ref="P51">IF(C51="","",IF(OR(O51="",O51=0),"-",O51))</f>
        <v>-</v>
      </c>
      <c r="Q51" s="11">
        <v>0</v>
      </c>
      <c r="R51" s="4" cm="1" t="str">
        <f t="array" ref="R51">IF(C51="","",ROUND(Q51/1000000,3)&amp;" M€")</f>
        <v>0 M€</v>
      </c>
      <c r="S51" s="12">
        <v>10</v>
      </c>
      <c r="T51" s="4" cm="1" t="str">
        <f t="array" ref="T51">IF(C51="","",SUBSTITUTE(S51,"","")&amp;"%")</f>
        <v>10%</v>
      </c>
      <c r="U51" s="4" cm="1" t="str">
        <f t="array" ref="U51">IF(($N51="")*($P51=""),"",IF(($N51&lt;&gt;"")*($N51&gt;TODAY()-9)*($N51&lt;TODAY()+1)*($P51&lt;&gt;"")*($P51&gt;=TODAY())*($P51&lt;=TODAY()+13),"Semaine passée &amp; à venir",IF(($N51&lt;&gt;"")*($N51&gt;TODAY()-9)*($N51&lt;TODAY()+1),"Semaine passée",IF(($P51&lt;&gt;"")*($P51&gt;=TODAY())*($P51&lt;=TODAY()+13),"À venir","Autre"))))</f>
        <v>Autre</v>
      </c>
      <c r="V51" cm="1" t="n">
        <f t="array" ref="V51">IF(C51&lt;&gt;"",1,0)</f>
        <v>1</v>
      </c>
    </row>
    <row r="52" ht="78.75" customHeight="1">
      <c r="A52" s="4" t="s">
        <v>23</v>
      </c>
      <c r="B52" s="4" t="s">
        <v>31</v>
      </c>
      <c r="C52" s="8" t="s">
        <v>181</v>
      </c>
      <c r="D52" s="8" t="s">
        <v>182</v>
      </c>
      <c r="E52" s="4" t="s">
        <v>26</v>
      </c>
      <c r="F52" t="s">
        <v>183</v>
      </c>
      <c r="G52" s="9" cm="1" t="str">
        <f t="array" ref="G52">IF(F52="","",SUBSTITUTE(SUBSTITUTE(SUBSTITUTE(SUBSTITUTE(F52,"&lt;li&gt;",CHAR(10)),"&lt;/li&gt;",""),"&lt;br&gt;",CHAR(10)),"&lt;strong&gt;",""))</f>
        <v>&lt;p&gt;25/02/2026 : call avec Nicolas Meyer pour organiser rencontre à Paris, cible gros clients HNWI. Nouvelle piste créée équipe Ventes. Enrichissement lead impossible (email invalide). Prochaine étape : rencontre prévue le 15/04/2026. Pas d'autres retours prospects ni conclusions sur fonds à ce stade.&lt;/p&gt;</v>
      </c>
      <c r="H52" s="9" cm="1" t="str">
        <f t="array" ref="H52">IF(G52="","",SUBSTITUTE(SUBSTITUTE(SUBSTITUTE(SUBSTITUTE(SUBSTITUTE(G52,"&lt;p&gt;",""),"&lt;/p&gt;",""),"&lt;ul&gt;",""),"&lt;/ul&gt;",""),"&lt;/strong&gt;",""))</f>
        <v>25/02/2026 : call avec Nicolas Meyer pour organiser rencontre à Paris, cible gros clients HNWI. Nouvelle piste créée équipe Ventes. Enrichissement lead impossible (email invalide). Prochaine étape : rencontre prévue le 15/04/2026. Pas d'autres retours prospects ni conclusions sur fonds à ce stade.</v>
      </c>
      <c r="I52" s="9" cm="1" t="str">
        <f t="array" ref="I52">IF(C52="","",IF(OR(H52="",H52=0,H52=FALSE),"-",H52))</f>
        <v>25/02/2026 : call avec Nicolas Meyer pour organiser rencontre à Paris, cible gros clients HNWI. Nouvelle piste créée équipe Ventes. Enrichissement lead impossible (email invalide). Prochaine étape : rencontre prévue le 15/04/2026. Pas d'autres retours prospects ni conclusions sur fonds à ce stade.</v>
      </c>
      <c r="J52" t="s">
        <v>184</v>
      </c>
      <c r="K52" s="4" t="s">
        <v>44</v>
      </c>
      <c r="L52" s="4" cm="1" t="str">
        <f t="array" ref="L52">IF(C52="","",IF(K52="Mort / Plus rien à faire","KO","OK"))</f>
        <v>OK</v>
      </c>
      <c r="M52" s="10">
        <v>46087.70364583333</v>
      </c>
      <c r="N52" s="10" cm="1" t="n">
        <f t="array" ref="N52">IF(OR(C52="",M52="",M52=0),"",M52)</f>
        <v>46087.70364583333</v>
      </c>
      <c r="O52" s="10">
        <v>46127.083333333336</v>
      </c>
      <c r="P52" s="10" cm="1" t="n">
        <f t="array" ref="P52">IF(C52="","",IF(OR(O52="",O52=0),"-",O52))</f>
        <v>46127.083333333336</v>
      </c>
      <c r="Q52" s="11">
        <v>0</v>
      </c>
      <c r="R52" s="4" cm="1" t="str">
        <f t="array" ref="R52">IF(C52="","",ROUND(Q52/1000000,3)&amp;" M€")</f>
        <v>0 M€</v>
      </c>
      <c r="S52" s="12">
        <v>10</v>
      </c>
      <c r="T52" s="4" cm="1" t="str">
        <f t="array" ref="T52">IF(C52="","",SUBSTITUTE(S52,"","")&amp;"%")</f>
        <v>10%</v>
      </c>
      <c r="U52" s="4" cm="1" t="str">
        <f t="array" ref="U52">IF(($N52="")*($P52=""),"",IF(($N52&lt;&gt;"")*($N52&gt;TODAY()-9)*($N52&lt;TODAY()+1)*($P52&lt;&gt;"")*($P52&gt;=TODAY())*($P52&lt;=TODAY()+13),"Semaine passée &amp; à venir",IF(($N52&lt;&gt;"")*($N52&gt;TODAY()-9)*($N52&lt;TODAY()+1),"Semaine passée",IF(($P52&lt;&gt;"")*($P52&gt;=TODAY())*($P52&lt;=TODAY()+13),"À venir","Autre"))))</f>
        <v>Semaine passée</v>
      </c>
      <c r="V52" cm="1" t="n">
        <f t="array" ref="V52">IF(C52&lt;&gt;"",1,0)</f>
        <v>1</v>
      </c>
    </row>
    <row r="53" ht="78.75" customHeight="1">
      <c r="A53" s="4" t="s">
        <v>23</v>
      </c>
      <c r="B53" s="4" t="s">
        <v>38</v>
      </c>
      <c r="C53" s="8" t="s">
        <v>185</v>
      </c>
      <c r="D53" s="8" t="s">
        <v>186</v>
      </c>
      <c r="E53" s="4" t="s">
        <v>26</v>
      </c>
      <c r="F53" t="s">
        <v>187</v>
      </c>
      <c r="G53" s="9" cm="1" t="str">
        <f t="array" ref="G53">IF(F53="","",SUBSTITUTE(SUBSTITUTE(SUBSTITUTE(SUBSTITUTE(F53,"&lt;li&gt;",CHAR(10)),"&lt;/li&gt;",""),"&lt;br&gt;",CHAR(10)),"&lt;strong&gt;",""))</f>
        <v>&lt;p&gt;Piste créée pour équipe Ventes. Call le 26/02/2026 pour signature convention distribution fonds. En attente KYC distributeur. Enrichissement lead impossible (email non valide). Prochaine étape : réception KYC pour avancer sur la distribution des fonds. Aucune autre activité récente.&lt;/p&gt;</v>
      </c>
      <c r="H53" s="9" cm="1" t="str">
        <f t="array" ref="H53">IF(G53="","",SUBSTITUTE(SUBSTITUTE(SUBSTITUTE(SUBSTITUTE(SUBSTITUTE(G53,"&lt;p&gt;",""),"&lt;/p&gt;",""),"&lt;ul&gt;",""),"&lt;/ul&gt;",""),"&lt;/strong&gt;",""))</f>
        <v>Piste créée pour équipe Ventes. Call le 26/02/2026 pour signature convention distribution fonds. En attente KYC distributeur. Enrichissement lead impossible (email non valide). Prochaine étape : réception KYC pour avancer sur la distribution des fonds. Aucune autre activité récente.</v>
      </c>
      <c r="I53" s="9" cm="1" t="str">
        <f t="array" ref="I53">IF(C53="","",IF(OR(H53="",H53=0,H53=FALSE),"-",H53))</f>
        <v>Piste créée pour équipe Ventes. Call le 26/02/2026 pour signature convention distribution fonds. En attente KYC distributeur. Enrichissement lead impossible (email non valide). Prochaine étape : réception KYC pour avancer sur la distribution des fonds. Aucune autre activité récente.</v>
      </c>
      <c r="J53">
</c>
      <c r="K53" s="4" t="s">
        <v>44</v>
      </c>
      <c r="L53" s="4" cm="1" t="str">
        <f t="array" ref="L53">IF(C53="","",IF(K53="Mort / Plus rien à faire","KO","OK"))</f>
        <v>OK</v>
      </c>
      <c r="M53" s="10">
        <v>46087.70793981481</v>
      </c>
      <c r="N53" s="10" cm="1" t="n">
        <f t="array" ref="N53">IF(OR(C53="",M53="",M53=0),"",M53)</f>
        <v>46087.70793981481</v>
      </c>
      <c r="O53" s="10">
</c>
      <c r="P53" s="10" cm="1" t="str">
        <f t="array" ref="P53">IF(C53="","",IF(OR(O53="",O53=0),"-",O53))</f>
        <v>-</v>
      </c>
      <c r="Q53" s="11">
        <v>0</v>
      </c>
      <c r="R53" s="4" cm="1" t="str">
        <f t="array" ref="R53">IF(C53="","",ROUND(Q53/1000000,3)&amp;" M€")</f>
        <v>0 M€</v>
      </c>
      <c r="S53" s="12">
        <v>10</v>
      </c>
      <c r="T53" s="4" cm="1" t="str">
        <f t="array" ref="T53">IF(C53="","",SUBSTITUTE(S53,"","")&amp;"%")</f>
        <v>10%</v>
      </c>
      <c r="U53" s="4" cm="1" t="str">
        <f t="array" ref="U53">IF(($N53="")*($P53=""),"",IF(($N53&lt;&gt;"")*($N53&gt;TODAY()-9)*($N53&lt;TODAY()+1)*($P53&lt;&gt;"")*($P53&gt;=TODAY())*($P53&lt;=TODAY()+13),"Semaine passée &amp; à venir",IF(($N53&lt;&gt;"")*($N53&gt;TODAY()-9)*($N53&lt;TODAY()+1),"Semaine passée",IF(($P53&lt;&gt;"")*($P53&gt;=TODAY())*($P53&lt;=TODAY()+13),"À venir","Autre"))))</f>
        <v>Semaine passée</v>
      </c>
      <c r="V53" cm="1" t="n">
        <f t="array" ref="V53">IF(C53&lt;&gt;"",1,0)</f>
        <v>1</v>
      </c>
    </row>
    <row r="54" ht="78.75" customHeight="1">
      <c r="A54" s="4" t="s">
        <v>23</v>
      </c>
      <c r="B54" s="4" t="s">
        <v>47</v>
      </c>
      <c r="C54" s="8" t="s">
        <v>188</v>
      </c>
      <c r="D54" s="8" t="s">
        <v>189</v>
      </c>
      <c r="E54" s="4" t="s">
        <v>50</v>
      </c>
      <c r="F54" t="s">
        <v>190</v>
      </c>
      <c r="G54" s="9" cm="1" t="str">
        <f t="array" ref="G54">IF(F54="","",SUBSTITUTE(SUBSTITUTE(SUBSTITUTE(SUBSTITUTE(F54,"&lt;li&gt;",CHAR(10)),"&lt;/li&gt;",""),"&lt;br&gt;",CHAR(10)),"&lt;strong&gt;",""))</f>
        <v>&lt;p&gt;RDV prévu le 16 mars à Bourrienne pour revue d'activités, sujets abordés : geodesic et probablement le quantique. Nouvelle piste créée pour l'équipe Ventes. Prochaine étape : tenir le RDV et approfondir sur les fonds mentionnés. Pas d'autres retours ou conclusions prospect à ce stade.&lt;/p&gt;</v>
      </c>
      <c r="H54" s="9" cm="1" t="str">
        <f t="array" ref="H54">IF(G54="","",SUBSTITUTE(SUBSTITUTE(SUBSTITUTE(SUBSTITUTE(SUBSTITUTE(G54,"&lt;p&gt;",""),"&lt;/p&gt;",""),"&lt;ul&gt;",""),"&lt;/ul&gt;",""),"&lt;/strong&gt;",""))</f>
        <v>RDV prévu le 16 mars à Bourrienne pour revue d'activités, sujets abordés : geodesic et probablement le quantique. Nouvelle piste créée pour l'équipe Ventes. Prochaine étape : tenir le RDV et approfondir sur les fonds mentionnés. Pas d'autres retours ou conclusions prospect à ce stade.</v>
      </c>
      <c r="I54" s="9" cm="1" t="str">
        <f t="array" ref="I54">IF(C54="","",IF(OR(H54="",H54=0,H54=FALSE),"-",H54))</f>
        <v>RDV prévu le 16 mars à Bourrienne pour revue d'activités, sujets abordés : geodesic et probablement le quantique. Nouvelle piste créée pour l'équipe Ventes. Prochaine étape : tenir le RDV et approfondir sur les fonds mentionnés. Pas d'autres retours ou conclusions prospect à ce stade.</v>
      </c>
      <c r="J54" t="s">
        <v>191</v>
      </c>
      <c r="K54" s="4" t="s">
        <v>53</v>
      </c>
      <c r="L54" s="4" cm="1" t="str">
        <f t="array" ref="L54">IF(C54="","",IF(K54="Mort / Plus rien à faire","KO","OK"))</f>
        <v>OK</v>
      </c>
      <c r="M54" s="10">
        <v>46085.619097222225</v>
      </c>
      <c r="N54" s="10" cm="1" t="n">
        <f t="array" ref="N54">IF(OR(C54="",M54="",M54=0),"",M54)</f>
        <v>46085.619097222225</v>
      </c>
      <c r="O54" s="10">
        <v>46097.041666666664</v>
      </c>
      <c r="P54" s="10" cm="1" t="n">
        <f t="array" ref="P54">IF(C54="","",IF(OR(O54="",O54=0),"-",O54))</f>
        <v>46097.041666666664</v>
      </c>
      <c r="Q54" s="11">
        <v>0</v>
      </c>
      <c r="R54" s="4" cm="1" t="str">
        <f t="array" ref="R54">IF(C54="","",ROUND(Q54/1000000,3)&amp;" M€")</f>
        <v>0 M€</v>
      </c>
      <c r="S54" s="12">
        <v>10</v>
      </c>
      <c r="T54" s="4" cm="1" t="str">
        <f t="array" ref="T54">IF(C54="","",SUBSTITUTE(S54,"","")&amp;"%")</f>
        <v>10%</v>
      </c>
      <c r="U54" s="4" cm="1" t="str">
        <f t="array" ref="U54">IF(($N54="")*($P54=""),"",IF(($N54&lt;&gt;"")*($N54&gt;TODAY()-9)*($N54&lt;TODAY()+1)*($P54&lt;&gt;"")*($P54&gt;=TODAY())*($P54&lt;=TODAY()+13),"Semaine passée &amp; à venir",IF(($N54&lt;&gt;"")*($N54&gt;TODAY()-9)*($N54&lt;TODAY()+1),"Semaine passée",IF(($P54&lt;&gt;"")*($P54&gt;=TODAY())*($P54&lt;=TODAY()+13),"À venir","Autre"))))</f>
        <v>Semaine passée &amp; à venir</v>
      </c>
      <c r="V54" cm="1" t="n">
        <f t="array" ref="V54">IF(C54&lt;&gt;"",1,0)</f>
        <v>1</v>
      </c>
    </row>
    <row r="55" ht="78.75" customHeight="1">
      <c r="A55" s="4" t="s">
        <v>23</v>
      </c>
      <c r="B55" s="4" t="s">
        <v>47</v>
      </c>
      <c r="C55" s="8" t="s">
        <v>192</v>
      </c>
      <c r="D55" s="8" t="s">
        <v>193</v>
      </c>
      <c r="E55" s="4" t="s">
        <v>50</v>
      </c>
      <c r="F55" t="s">
        <v>194</v>
      </c>
      <c r="G55" s="9" cm="1" t="str">
        <f t="array" ref="G55">IF(F55="","",SUBSTITUTE(SUBSTITUTE(SUBSTITUTE(SUBSTITUTE(F55,"&lt;li&gt;",CHAR(10)),"&lt;/li&gt;",""),"&lt;br&gt;",CHAR(10)),"&lt;strong&gt;",""))</f>
        <v>&lt;p&gt;Nouvelle piste créée pour équipe Ventes. RDV de préparation pour conférence du 9 avril planifié. Autre action prévue : témoignage Charles et Ted à Londres, objectif levées UK, deadline 29/04. Prochaines étapes : préparer confu 9/04, organiser témoignage Londres, focus levées UK.&lt;/p&gt;</v>
      </c>
      <c r="H55" s="9" cm="1" t="str">
        <f t="array" ref="H55">IF(G55="","",SUBSTITUTE(SUBSTITUTE(SUBSTITUTE(SUBSTITUTE(SUBSTITUTE(G55,"&lt;p&gt;",""),"&lt;/p&gt;",""),"&lt;ul&gt;",""),"&lt;/ul&gt;",""),"&lt;/strong&gt;",""))</f>
        <v>Nouvelle piste créée pour équipe Ventes. RDV de préparation pour conférence du 9 avril planifié. Autre action prévue : témoignage Charles et Ted à Londres, objectif levées UK, deadline 29/04. Prochaines étapes : préparer confu 9/04, organiser témoignage Londres, focus levées UK.</v>
      </c>
      <c r="I55" s="9" cm="1" t="str">
        <f t="array" ref="I55">IF(C55="","",IF(OR(H55="",H55=0,H55=FALSE),"-",H55))</f>
        <v>Nouvelle piste créée pour équipe Ventes. RDV de préparation pour conférence du 9 avril planifié. Autre action prévue : témoignage Charles et Ted à Londres, objectif levées UK, deadline 29/04. Prochaines étapes : préparer confu 9/04, organiser témoignage Londres, focus levées UK.</v>
      </c>
      <c r="J55" t="s">
        <v>195</v>
      </c>
      <c r="K55" s="4" t="s">
        <v>53</v>
      </c>
      <c r="L55" s="4" cm="1" t="str">
        <f t="array" ref="L55">IF(C55="","",IF(K55="Mort / Plus rien à faire","KO","OK"))</f>
        <v>OK</v>
      </c>
      <c r="M55" s="10">
        <v>46085.490439814814</v>
      </c>
      <c r="N55" s="10" cm="1" t="n">
        <f t="array" ref="N55">IF(OR(C55="",M55="",M55=0),"",M55)</f>
        <v>46085.490439814814</v>
      </c>
      <c r="O55" s="10">
        <v>46087.458333333336</v>
      </c>
      <c r="P55" s="10" cm="1" t="n">
        <f t="array" ref="P55">IF(C55="","",IF(OR(O55="",O55=0),"-",O55))</f>
        <v>46087.458333333336</v>
      </c>
      <c r="Q55" s="11">
        <v>0</v>
      </c>
      <c r="R55" s="4" cm="1" t="str">
        <f t="array" ref="R55">IF(C55="","",ROUND(Q55/1000000,3)&amp;" M€")</f>
        <v>0 M€</v>
      </c>
      <c r="S55" s="12">
        <v>10</v>
      </c>
      <c r="T55" s="4" cm="1" t="str">
        <f t="array" ref="T55">IF(C55="","",SUBSTITUTE(S55,"","")&amp;"%")</f>
        <v>10%</v>
      </c>
      <c r="U55" s="4" cm="1" t="str">
        <f t="array" ref="U55">IF(($N55="")*($P55=""),"",IF(($N55&lt;&gt;"")*($N55&gt;TODAY()-9)*($N55&lt;TODAY()+1)*($P55&lt;&gt;"")*($P55&gt;=TODAY())*($P55&lt;=TODAY()+13),"Semaine passée &amp; à venir",IF(($N55&lt;&gt;"")*($N55&gt;TODAY()-9)*($N55&lt;TODAY()+1),"Semaine passée",IF(($P55&lt;&gt;"")*($P55&gt;=TODAY())*($P55&lt;=TODAY()+13),"À venir","Autre"))))</f>
        <v>Semaine passée &amp; à venir</v>
      </c>
      <c r="V55" cm="1" t="n">
        <f t="array" ref="V55">IF(C55&lt;&gt;"",1,0)</f>
        <v>1</v>
      </c>
    </row>
    <row r="56" ht="78.75" customHeight="1">
      <c r="A56" s="4" t="s">
        <v>23</v>
      </c>
      <c r="B56" s="4">
</c>
      <c r="C56" s="8" t="s">
        <v>196</v>
      </c>
      <c r="D56" s="8" t="s">
        <v>197</v>
      </c>
      <c r="E56" s="4" t="s">
        <v>50</v>
      </c>
      <c r="F56" t="s">
        <v>198</v>
      </c>
      <c r="G56" s="9" cm="1" t="str">
        <f t="array" ref="G56">IF(F56="","",SUBSTITUTE(SUBSTITUTE(SUBSTITUTE(SUBSTITUTE(F56,"&lt;li&gt;",CHAR(10)),"&lt;/li&gt;",""),"&lt;br&gt;",CHAR(10)),"&lt;strong&gt;",""))</f>
        <v>&lt;p&gt;Nouvelle piste créée équipe Ventes. Déjeuner prévu le 10 mars à Bourrienne (dossier Cérélia) avec Romain Andrieu. Pas d'autres actions ou retours prospect mentionnés à ce jour. Prochaine étape : déjeuner du 10 mars, suivi à prévoir selon échanges lors de ce rendez-vous.&lt;/p&gt;</v>
      </c>
      <c r="H56" s="9" cm="1" t="str">
        <f t="array" ref="H56">IF(G56="","",SUBSTITUTE(SUBSTITUTE(SUBSTITUTE(SUBSTITUTE(SUBSTITUTE(G56,"&lt;p&gt;",""),"&lt;/p&gt;",""),"&lt;ul&gt;",""),"&lt;/ul&gt;",""),"&lt;/strong&gt;",""))</f>
        <v>Nouvelle piste créée équipe Ventes. Déjeuner prévu le 10 mars à Bourrienne (dossier Cérélia) avec Romain Andrieu. Pas d'autres actions ou retours prospect mentionnés à ce jour. Prochaine étape : déjeuner du 10 mars, suivi à prévoir selon échanges lors de ce rendez-vous.</v>
      </c>
      <c r="I56" s="9" cm="1" t="str">
        <f t="array" ref="I56">IF(C56="","",IF(OR(H56="",H56=0,H56=FALSE),"-",H56))</f>
        <v>Nouvelle piste créée équipe Ventes. Déjeuner prévu le 10 mars à Bourrienne (dossier Cérélia) avec Romain Andrieu. Pas d'autres actions ou retours prospect mentionnés à ce jour. Prochaine étape : déjeuner du 10 mars, suivi à prévoir selon échanges lors de ce rendez-vous.</v>
      </c>
      <c r="J56" t="s">
        <v>199</v>
      </c>
      <c r="K56" s="4" t="s">
        <v>53</v>
      </c>
      <c r="L56" s="4" cm="1" t="str">
        <f t="array" ref="L56">IF(C56="","",IF(K56="Mort / Plus rien à faire","KO","OK"))</f>
        <v>OK</v>
      </c>
      <c r="M56" s="10">
        <v>46087.699525462966</v>
      </c>
      <c r="N56" s="10" cm="1" t="n">
        <f t="array" ref="N56">IF(OR(C56="",M56="",M56=0),"",M56)</f>
        <v>46087.699525462966</v>
      </c>
      <c r="O56" s="10">
        <v>46091.041666666664</v>
      </c>
      <c r="P56" s="10" cm="1" t="n">
        <f t="array" ref="P56">IF(C56="","",IF(OR(O56="",O56=0),"-",O56))</f>
        <v>46091.041666666664</v>
      </c>
      <c r="Q56" s="11">
        <v>0</v>
      </c>
      <c r="R56" s="4" cm="1" t="str">
        <f t="array" ref="R56">IF(C56="","",ROUND(Q56/1000000,3)&amp;" M€")</f>
        <v>0 M€</v>
      </c>
      <c r="S56" s="12">
        <v>10</v>
      </c>
      <c r="T56" s="4" cm="1" t="str">
        <f t="array" ref="T56">IF(C56="","",SUBSTITUTE(S56,"","")&amp;"%")</f>
        <v>10%</v>
      </c>
      <c r="U56" s="4" cm="1" t="str">
        <f t="array" ref="U56">IF(($N56="")*($P56=""),"",IF(($N56&lt;&gt;"")*($N56&gt;TODAY()-9)*($N56&lt;TODAY()+1)*($P56&lt;&gt;"")*($P56&gt;=TODAY())*($P56&lt;=TODAY()+13),"Semaine passée &amp; à venir",IF(($N56&lt;&gt;"")*($N56&gt;TODAY()-9)*($N56&lt;TODAY()+1),"Semaine passée",IF(($P56&lt;&gt;"")*($P56&gt;=TODAY())*($P56&lt;=TODAY()+13),"À venir","Autre"))))</f>
        <v>Semaine passée &amp; à venir</v>
      </c>
      <c r="V56" cm="1" t="n">
        <f t="array" ref="V56">IF(C56&lt;&gt;"",1,0)</f>
        <v>1</v>
      </c>
    </row>
    <row r="57" ht="78.75" customHeight="1">
      <c r="A57" s="4" t="s">
        <v>23</v>
      </c>
      <c r="B57" s="4" t="s">
        <v>47</v>
      </c>
      <c r="C57" s="8" t="s">
        <v>200</v>
      </c>
      <c r="D57" s="8" t="s">
        <v>201</v>
      </c>
      <c r="E57" s="4" t="s">
        <v>202</v>
      </c>
      <c r="F57" t="s">
        <v>203</v>
      </c>
      <c r="G57" s="9" cm="1" t="str">
        <f t="array" ref="G57">IF(F57="","",SUBSTITUTE(SUBSTITUTE(SUBSTITUTE(SUBSTITUTE(F57,"&lt;li&gt;",CHAR(10)),"&lt;/li&gt;",""),"&lt;br&gt;",CHAR(10)),"&lt;strong&gt;",""))</f>
        <v>&lt;p&gt;Echanges initiés entre Audacia et HSBC pour explorer synergies, focus sur fonds fiscalité, immobilier, deeptech. Inclusion équipe Banque Privée HSBC évoquée pour distribution. Prochaine étape&amp;nbsp;: partage d'une proposition ou call Teams à planifier. Attente retour sur faisabilité partenariat.&lt;/p&gt;</v>
      </c>
      <c r="H57" s="9" cm="1" t="str">
        <f t="array" ref="H57">IF(G57="","",SUBSTITUTE(SUBSTITUTE(SUBSTITUTE(SUBSTITUTE(SUBSTITUTE(G57,"&lt;p&gt;",""),"&lt;/p&gt;",""),"&lt;ul&gt;",""),"&lt;/ul&gt;",""),"&lt;/strong&gt;",""))</f>
        <v>Echanges initiés entre Audacia et HSBC pour explorer synergies, focus sur fonds fiscalité, immobilier, deeptech. Inclusion équipe Banque Privée HSBC évoquée pour distribution. Prochaine étape&amp;nbsp;: partage d'une proposition ou call Teams à planifier. Attente retour sur faisabilité partenariat.</v>
      </c>
      <c r="I57" s="9" cm="1" t="str">
        <f t="array" ref="I57">IF(C57="","",IF(OR(H57="",H57=0,H57=FALSE),"-",H57))</f>
        <v>Echanges initiés entre Audacia et HSBC pour explorer synergies, focus sur fonds fiscalité, immobilier, deeptech. Inclusion équipe Banque Privée HSBC évoquée pour distribution. Prochaine étape&amp;nbsp;: partage d'une proposition ou call Teams à planifier. Attente retour sur faisabilité partenariat.</v>
      </c>
      <c r="J57" t="s">
        <v>204</v>
      </c>
      <c r="K57" s="4" t="s">
        <v>53</v>
      </c>
      <c r="L57" s="4" cm="1" t="str">
        <f t="array" ref="L57">IF(C57="","",IF(K57="Mort / Plus rien à faire","KO","OK"))</f>
        <v>OK</v>
      </c>
      <c r="M57" s="10">
        <v>46073.66006944444</v>
      </c>
      <c r="N57" s="10" cm="1" t="n">
        <f t="array" ref="N57">IF(OR(C57="",M57="",M57=0),"",M57)</f>
        <v>46073.66006944444</v>
      </c>
      <c r="O57" s="10">
</c>
      <c r="P57" s="10" cm="1" t="str">
        <f t="array" ref="P57">IF(C57="","",IF(OR(O57="",O57=0),"-",O57))</f>
        <v>-</v>
      </c>
      <c r="Q57" s="11">
        <v>0</v>
      </c>
      <c r="R57" s="4" cm="1" t="str">
        <f t="array" ref="R57">IF(C57="","",ROUND(Q57/1000000,3)&amp;" M€")</f>
        <v>0 M€</v>
      </c>
      <c r="S57" s="12">
        <v>0</v>
      </c>
      <c r="T57" s="4" cm="1" t="str">
        <f t="array" ref="T57">IF(C57="","",SUBSTITUTE(S57,"","")&amp;"%")</f>
        <v>0%</v>
      </c>
      <c r="U57" s="4" cm="1" t="str">
        <f t="array" ref="U57">IF(($N57="")*($P57=""),"",IF(($N57&lt;&gt;"")*($N57&gt;TODAY()-9)*($N57&lt;TODAY()+1)*($P57&lt;&gt;"")*($P57&gt;=TODAY())*($P57&lt;=TODAY()+13),"Semaine passée &amp; à venir",IF(($N57&lt;&gt;"")*($N57&gt;TODAY()-9)*($N57&lt;TODAY()+1),"Semaine passée",IF(($P57&lt;&gt;"")*($P57&gt;=TODAY())*($P57&lt;=TODAY()+13),"À venir","Autre"))))</f>
        <v>Autre</v>
      </c>
      <c r="V57" cm="1" t="n">
        <f t="array" ref="V57">IF(C57&lt;&gt;"",1,0)</f>
        <v>1</v>
      </c>
    </row>
    <row r="58" ht="78.75" customHeight="1">
      <c r="A58" s="4" t="s">
        <v>23</v>
      </c>
      <c r="B58" s="4" t="s">
        <v>124</v>
      </c>
      <c r="C58" s="8" t="s">
        <v>205</v>
      </c>
      <c r="D58" s="8" t="s">
        <v>206</v>
      </c>
      <c r="E58" s="4" t="s">
        <v>50</v>
      </c>
      <c r="F58" t="s">
        <v>207</v>
      </c>
      <c r="G58" s="9" cm="1" t="str">
        <f t="array" ref="G58">IF(F58="","",SUBSTITUTE(SUBSTITUTE(SUBSTITUTE(SUBSTITUTE(F58,"&lt;li&gt;",CHAR(10)),"&lt;/li&gt;",""),"&lt;br&gt;",CHAR(10)),"&lt;strong&gt;",""))</f>
        <v>&lt;p&gt;12/12/25 RDV FO: 70 lignes fonds, 15 Europe, secondaire actif, 16M€, 100% déployé, horizon 3-5 ans, LP lead prudent, GP lead single asset, discussions sur nouveau fonds 1,5M€, Rdv janvier prévu. Prochaine étape : prendre rdv pour update secondary. Pas d'autres actus récentes.&lt;/p&gt;</v>
      </c>
      <c r="H58" s="9" cm="1" t="str">
        <f t="array" ref="H58">IF(G58="","",SUBSTITUTE(SUBSTITUTE(SUBSTITUTE(SUBSTITUTE(SUBSTITUTE(G58,"&lt;p&gt;",""),"&lt;/p&gt;",""),"&lt;ul&gt;",""),"&lt;/ul&gt;",""),"&lt;/strong&gt;",""))</f>
        <v>12/12/25 RDV FO: 70 lignes fonds, 15 Europe, secondaire actif, 16M€, 100% déployé, horizon 3-5 ans, LP lead prudent, GP lead single asset, discussions sur nouveau fonds 1,5M€, Rdv janvier prévu. Prochaine étape : prendre rdv pour update secondary. Pas d'autres actus récentes.</v>
      </c>
      <c r="I58" s="9" cm="1" t="str">
        <f t="array" ref="I58">IF(C58="","",IF(OR(H58="",H58=0,H58=FALSE),"-",H58))</f>
        <v>12/12/25 RDV FO: 70 lignes fonds, 15 Europe, secondaire actif, 16M€, 100% déployé, horizon 3-5 ans, LP lead prudent, GP lead single asset, discussions sur nouveau fonds 1,5M€, Rdv janvier prévu. Prochaine étape : prendre rdv pour update secondary. Pas d'autres actus récentes.</v>
      </c>
      <c r="J58" t="s">
        <v>208</v>
      </c>
      <c r="K58" s="4" t="s">
        <v>44</v>
      </c>
      <c r="L58" s="4" cm="1" t="str">
        <f t="array" ref="L58">IF(C58="","",IF(K58="Mort / Plus rien à faire","KO","OK"))</f>
        <v>OK</v>
      </c>
      <c r="M58" s="10">
        <v>46087.719305555554</v>
      </c>
      <c r="N58" s="10" cm="1" t="n">
        <f t="array" ref="N58">IF(OR(C58="",M58="",M58=0),"",M58)</f>
        <v>46087.719305555554</v>
      </c>
      <c r="O58" s="10">
</c>
      <c r="P58" s="10" cm="1" t="str">
        <f t="array" ref="P58">IF(C58="","",IF(OR(O58="",O58=0),"-",O58))</f>
        <v>-</v>
      </c>
      <c r="Q58" s="11">
        <v>0</v>
      </c>
      <c r="R58" s="4" cm="1" t="str">
        <f t="array" ref="R58">IF(C58="","",ROUND(Q58/1000000,3)&amp;" M€")</f>
        <v>0 M€</v>
      </c>
      <c r="S58" s="12">
        <v>0</v>
      </c>
      <c r="T58" s="4" cm="1" t="str">
        <f t="array" ref="T58">IF(C58="","",SUBSTITUTE(S58,"","")&amp;"%")</f>
        <v>0%</v>
      </c>
      <c r="U58" s="4" cm="1" t="str">
        <f t="array" ref="U58">IF(($N58="")*($P58=""),"",IF(($N58&lt;&gt;"")*($N58&gt;TODAY()-9)*($N58&lt;TODAY()+1)*($P58&lt;&gt;"")*($P58&gt;=TODAY())*($P58&lt;=TODAY()+13),"Semaine passée &amp; à venir",IF(($N58&lt;&gt;"")*($N58&gt;TODAY()-9)*($N58&lt;TODAY()+1),"Semaine passée",IF(($P58&lt;&gt;"")*($P58&gt;=TODAY())*($P58&lt;=TODAY()+13),"À venir","Autre"))))</f>
        <v>Semaine passée</v>
      </c>
      <c r="V58" cm="1" t="n">
        <f t="array" ref="V58">IF(C58&lt;&gt;"",1,0)</f>
        <v>1</v>
      </c>
    </row>
    <row r="59" ht="78.75" customHeight="1">
      <c r="A59" s="4" t="s">
        <v>23</v>
      </c>
      <c r="B59" s="4" t="s">
        <v>24</v>
      </c>
      <c r="C59" s="8" t="s">
        <v>209</v>
      </c>
      <c r="D59" s="8" t="s">
        <v>209</v>
      </c>
      <c r="E59" s="4" t="s">
        <v>50</v>
      </c>
      <c r="F59" t="s">
        <v>210</v>
      </c>
      <c r="G59" s="9" cm="1" t="str">
        <f t="array" ref="G59">IF(F59="","",SUBSTITUTE(SUBSTITUTE(SUBSTITUTE(SUBSTITUTE(F59,"&lt;li&gt;",CHAR(10)),"&lt;/li&gt;",""),"&lt;br&gt;",CHAR(10)),"&lt;strong&gt;",""))</f>
        <v>&lt;p&gt;Aucune activité menée sur le prospect. Un nouvelle piste a été créée pour l'équipe "Ventes". Pas d'autres échanges, actions ou retours détectés à ce jour. Aucune prochaine étape planifiée ni retour du prospect sur les fonds présentés.&lt;/p&gt;</v>
      </c>
      <c r="H59" s="9" cm="1" t="str">
        <f t="array" ref="H59">IF(G59="","",SUBSTITUTE(SUBSTITUTE(SUBSTITUTE(SUBSTITUTE(SUBSTITUTE(G59,"&lt;p&gt;",""),"&lt;/p&gt;",""),"&lt;ul&gt;",""),"&lt;/ul&gt;",""),"&lt;/strong&gt;",""))</f>
        <v>Aucune activité menée sur le prospect. Un nouvelle piste a été créée pour l'équipe "Ventes". Pas d'autres échanges, actions ou retours détectés à ce jour. Aucune prochaine étape planifiée ni retour du prospect sur les fonds présentés.</v>
      </c>
      <c r="I59" s="9" cm="1" t="str">
        <f t="array" ref="I59">IF(C59="","",IF(OR(H59="",H59=0,H59=FALSE),"-",H59))</f>
        <v>Aucune activité menée sur le prospect. Un nouvelle piste a été créée pour l'équipe "Ventes". Pas d'autres échanges, actions ou retours détectés à ce jour. Aucune prochaine étape planifiée ni retour du prospect sur les fonds présentés.</v>
      </c>
      <c r="J59" t="s">
        <v>211</v>
      </c>
      <c r="K59" s="4" t="s">
        <v>53</v>
      </c>
      <c r="L59" s="4" cm="1" t="str">
        <f t="array" ref="L59">IF(C59="","",IF(K59="Mort / Plus rien à faire","KO","OK"))</f>
        <v>OK</v>
      </c>
      <c r="M59" s="10">
        <v>46070.627337962964</v>
      </c>
      <c r="N59" s="10" cm="1" t="n">
        <f t="array" ref="N59">IF(OR(C59="",M59="",M59=0),"",M59)</f>
        <v>46070.627337962964</v>
      </c>
      <c r="O59" s="10">
</c>
      <c r="P59" s="10" cm="1" t="str">
        <f t="array" ref="P59">IF(C59="","",IF(OR(O59="",O59=0),"-",O59))</f>
        <v>-</v>
      </c>
      <c r="Q59" s="11">
        <v>0</v>
      </c>
      <c r="R59" s="4" cm="1" t="str">
        <f t="array" ref="R59">IF(C59="","",ROUND(Q59/1000000,3)&amp;" M€")</f>
        <v>0 M€</v>
      </c>
      <c r="S59" s="12">
        <v>0</v>
      </c>
      <c r="T59" s="4" cm="1" t="str">
        <f t="array" ref="T59">IF(C59="","",SUBSTITUTE(S59,"","")&amp;"%")</f>
        <v>0%</v>
      </c>
      <c r="U59" s="4" cm="1" t="str">
        <f t="array" ref="U59">IF(($N59="")*($P59=""),"",IF(($N59&lt;&gt;"")*($N59&gt;TODAY()-9)*($N59&lt;TODAY()+1)*($P59&lt;&gt;"")*($P59&gt;=TODAY())*($P59&lt;=TODAY()+13),"Semaine passée &amp; à venir",IF(($N59&lt;&gt;"")*($N59&gt;TODAY()-9)*($N59&lt;TODAY()+1),"Semaine passée",IF(($P59&lt;&gt;"")*($P59&gt;=TODAY())*($P59&lt;=TODAY()+13),"À venir","Autre"))))</f>
        <v>Autre</v>
      </c>
      <c r="V59" cm="1" t="n">
        <f t="array" ref="V59">IF(C59&lt;&gt;"",1,0)</f>
        <v>1</v>
      </c>
    </row>
    <row r="60" ht="78.75" customHeight="1">
      <c r="A60" s="4" t="s">
        <v>23</v>
      </c>
      <c r="B60" s="4" t="s">
        <v>68</v>
      </c>
      <c r="C60" s="8" t="s">
        <v>212</v>
      </c>
      <c r="D60" s="8" t="s">
        <v>213</v>
      </c>
      <c r="E60" s="4" t="s">
        <v>50</v>
      </c>
      <c r="F60" t="s">
        <v>214</v>
      </c>
      <c r="G60" s="9" cm="1" t="str">
        <f t="array" ref="G60">IF(F60="","",SUBSTITUTE(SUBSTITUTE(SUBSTITUTE(SUBSTITUTE(F60,"&lt;li&gt;",CHAR(10)),"&lt;/li&gt;",""),"&lt;br&gt;",CHAR(10)),"&lt;strong&gt;",""))</f>
        <v>&lt;p&gt;Nouvelle piste créée pour équipe Ventes. Aucun échange, activité ou action de suivi enregistrée à ce jour sur ce prospect. Pas d'informations complémentaires, pas de retour ni de prochaine étape identifiée. Suivi à initier.&lt;/p&gt;</v>
      </c>
      <c r="H60" s="9" cm="1" t="str">
        <f t="array" ref="H60">IF(G60="","",SUBSTITUTE(SUBSTITUTE(SUBSTITUTE(SUBSTITUTE(SUBSTITUTE(G60,"&lt;p&gt;",""),"&lt;/p&gt;",""),"&lt;ul&gt;",""),"&lt;/ul&gt;",""),"&lt;/strong&gt;",""))</f>
        <v>Nouvelle piste créée pour équipe Ventes. Aucun échange, activité ou action de suivi enregistrée à ce jour sur ce prospect. Pas d'informations complémentaires, pas de retour ni de prochaine étape identifiée. Suivi à initier.</v>
      </c>
      <c r="I60" s="9" cm="1" t="str">
        <f t="array" ref="I60">IF(C60="","",IF(OR(H60="",H60=0,H60=FALSE),"-",H60))</f>
        <v>Nouvelle piste créée pour équipe Ventes. Aucun échange, activité ou action de suivi enregistrée à ce jour sur ce prospect. Pas d'informations complémentaires, pas de retour ni de prochaine étape identifiée. Suivi à initier.</v>
      </c>
      <c r="J60">
</c>
      <c r="K60" s="4" t="s">
        <v>53</v>
      </c>
      <c r="L60" s="4" cm="1" t="str">
        <f t="array" ref="L60">IF(C60="","",IF(K60="Mort / Plus rien à faire","KO","OK"))</f>
        <v>OK</v>
      </c>
      <c r="M60" s="10">
        <v>46049.8827662037</v>
      </c>
      <c r="N60" s="10" cm="1" t="n">
        <f t="array" ref="N60">IF(OR(C60="",M60="",M60=0),"",M60)</f>
        <v>46049.8827662037</v>
      </c>
      <c r="O60" s="10">
</c>
      <c r="P60" s="10" cm="1" t="str">
        <f t="array" ref="P60">IF(C60="","",IF(OR(O60="",O60=0),"-",O60))</f>
        <v>-</v>
      </c>
      <c r="Q60" s="11">
        <v>0</v>
      </c>
      <c r="R60" s="4" cm="1" t="str">
        <f t="array" ref="R60">IF(C60="","",ROUND(Q60/1000000,3)&amp;" M€")</f>
        <v>0 M€</v>
      </c>
      <c r="S60" s="12">
        <v>0</v>
      </c>
      <c r="T60" s="4" cm="1" t="str">
        <f t="array" ref="T60">IF(C60="","",SUBSTITUTE(S60,"","")&amp;"%")</f>
        <v>0%</v>
      </c>
      <c r="U60" s="4" cm="1" t="str">
        <f t="array" ref="U60">IF(($N60="")*($P60=""),"",IF(($N60&lt;&gt;"")*($N60&gt;TODAY()-9)*($N60&lt;TODAY()+1)*($P60&lt;&gt;"")*($P60&gt;=TODAY())*($P60&lt;=TODAY()+13),"Semaine passée &amp; à venir",IF(($N60&lt;&gt;"")*($N60&gt;TODAY()-9)*($N60&lt;TODAY()+1),"Semaine passée",IF(($P60&lt;&gt;"")*($P60&gt;=TODAY())*($P60&lt;=TODAY()+13),"À venir","Autre"))))</f>
        <v>Autre</v>
      </c>
      <c r="V60" cm="1" t="n">
        <f t="array" ref="V60">IF(C60&lt;&gt;"",1,0)</f>
        <v>1</v>
      </c>
    </row>
    <row r="61" ht="78.75" customHeight="1">
      <c r="A61" s="4" t="s">
        <v>23</v>
      </c>
      <c r="B61" s="4" t="s">
        <v>24</v>
      </c>
      <c r="C61" s="8" t="s">
        <v>215</v>
      </c>
      <c r="D61" s="8" t="s">
        <v>216</v>
      </c>
      <c r="E61" s="4" t="s">
        <v>26</v>
      </c>
      <c r="F61">
</c>
      <c r="G61" s="9" cm="1" t="str">
        <f t="array" ref="G61">IF(F61="","",SUBSTITUTE(SUBSTITUTE(SUBSTITUTE(SUBSTITUTE(F61,"&lt;li&gt;",CHAR(10)),"&lt;/li&gt;",""),"&lt;br&gt;",CHAR(10)),"&lt;strong&gt;",""))</f>
        <v/>
      </c>
      <c r="H61" s="9" cm="1" t="str">
        <f t="array" ref="H61">IF(G61="","",SUBSTITUTE(SUBSTITUTE(SUBSTITUTE(SUBSTITUTE(SUBSTITUTE(G61,"&lt;p&gt;",""),"&lt;/p&gt;",""),"&lt;ul&gt;",""),"&lt;/ul&gt;",""),"&lt;/strong&gt;",""))</f>
        <v/>
      </c>
      <c r="I61" s="9" cm="1" t="str">
        <f t="array" ref="I61">IF(C61="","",IF(OR(H61="",H61=0,H61=FALSE),"-",H61))</f>
        <v>-</v>
      </c>
      <c r="J61">
</c>
      <c r="K61" s="4" t="s">
        <v>217</v>
      </c>
      <c r="L61" s="4" cm="1" t="str">
        <f t="array" ref="L61">IF(C61="","",IF(K61="Mort / Plus rien à faire","KO","OK"))</f>
        <v>KO</v>
      </c>
      <c r="M61" s="10">
        <v>45995.669583333336</v>
      </c>
      <c r="N61" s="10" cm="1" t="n">
        <f t="array" ref="N61">IF(OR(C61="",M61="",M61=0),"",M61)</f>
        <v>45995.669583333336</v>
      </c>
      <c r="O61" s="10">
</c>
      <c r="P61" s="10" cm="1" t="str">
        <f t="array" ref="P61">IF(C61="","",IF(OR(O61="",O61=0),"-",O61))</f>
        <v>-</v>
      </c>
      <c r="Q61" s="11">
        <v>0</v>
      </c>
      <c r="R61" s="4" cm="1" t="str">
        <f t="array" ref="R61">IF(C61="","",ROUND(Q61/1000000,3)&amp;" M€")</f>
        <v>0 M€</v>
      </c>
      <c r="S61" s="12">
        <v>0</v>
      </c>
      <c r="T61" s="4" cm="1" t="str">
        <f t="array" ref="T61">IF(C61="","",SUBSTITUTE(S61,"","")&amp;"%")</f>
        <v>0%</v>
      </c>
      <c r="U61" s="4" cm="1" t="str">
        <f t="array" ref="U61">IF(($N61="")*($P61=""),"",IF(($N61&lt;&gt;"")*($N61&gt;TODAY()-9)*($N61&lt;TODAY()+1)*($P61&lt;&gt;"")*($P61&gt;=TODAY())*($P61&lt;=TODAY()+13),"Semaine passée &amp; à venir",IF(($N61&lt;&gt;"")*($N61&gt;TODAY()-9)*($N61&lt;TODAY()+1),"Semaine passée",IF(($P61&lt;&gt;"")*($P61&gt;=TODAY())*($P61&lt;=TODAY()+13),"À venir","Autre"))))</f>
        <v>Autre</v>
      </c>
      <c r="V61" cm="1" t="n">
        <f t="array" ref="V61">IF(C61&lt;&gt;"",1,0)</f>
        <v>1</v>
      </c>
    </row>
    <row r="62" ht="78.75" customHeight="1">
      <c r="A62" s="4">
</c>
      <c r="B62" s="4">
</c>
      <c r="C62" s="8">
</c>
      <c r="D62" s="8">
</c>
      <c r="E62" s="4">
</c>
      <c r="F62">
</c>
      <c r="G62" s="9" cm="1" t="str">
        <f t="array" ref="G62">IF(F62="","",SUBSTITUTE(SUBSTITUTE(SUBSTITUTE(SUBSTITUTE(F62,"&lt;li&gt;",CHAR(10)),"&lt;/li&gt;",""),"&lt;br&gt;",CHAR(10)),"&lt;strong&gt;",""))</f>
        <v/>
      </c>
      <c r="H62" s="9" cm="1" t="str">
        <f t="array" ref="H62">IF(G62="","",SUBSTITUTE(SUBSTITUTE(SUBSTITUTE(SUBSTITUTE(SUBSTITUTE(G62,"&lt;p&gt;",""),"&lt;/p&gt;",""),"&lt;ul&gt;",""),"&lt;/ul&gt;",""),"&lt;/strong&gt;",""))</f>
        <v/>
      </c>
      <c r="I62" s="9" cm="1" t="str">
        <f t="array" ref="I62">IF(C62="","",IF(OR(H62="",H62=0,H62=FALSE),"-",H62))</f>
        <v/>
      </c>
      <c r="J62">
</c>
      <c r="K62" s="4">
</c>
      <c r="L62" s="4" cm="1" t="str">
        <f t="array" ref="L62">IF(C62="","",IF(K62="Mort / Plus rien à faire","KO","OK"))</f>
        <v/>
      </c>
      <c r="M62" s="10">
</c>
      <c r="N62" s="10" cm="1" t="str">
        <f t="array" ref="N62">IF(OR(C62="",M62="",M62=0),"",M62)</f>
        <v/>
      </c>
      <c r="O62" s="10">
</c>
      <c r="P62" s="10" cm="1" t="str">
        <f t="array" ref="P62">IF(C62="","",IF(OR(O62="",O62=0),"-",O62))</f>
        <v/>
      </c>
      <c r="Q62" s="11">
</c>
      <c r="R62" s="4" cm="1" t="str">
        <f t="array" ref="R62">IF(C62="","",ROUND(Q62/1000000,3)&amp;" M€")</f>
        <v/>
      </c>
      <c r="S62" s="12">
</c>
      <c r="T62" s="4" cm="1" t="str">
        <f t="array" ref="T62">IF(C62="","",SUBSTITUTE(S62,"","")&amp;"%")</f>
        <v/>
      </c>
      <c r="U62" s="4" cm="1" t="str">
        <f t="array" ref="U62">IF(($N62="")*($P62=""),"",IF(($N62&lt;&gt;"")*($N62&gt;TODAY()-9)*($N62&lt;TODAY()+1)*($P62&lt;&gt;"")*($P62&gt;=TODAY())*($P62&lt;=TODAY()+13),"Semaine passée &amp; à venir",IF(($N62&lt;&gt;"")*($N62&gt;TODAY()-9)*($N62&lt;TODAY()+1),"Semaine passée",IF(($P62&lt;&gt;"")*($P62&gt;=TODAY())*($P62&lt;=TODAY()+13),"À venir","Autre"))))</f>
        <v/>
      </c>
      <c r="V62" cm="1" t="n">
        <f t="array" ref="V62">IF(C62&lt;&gt;"",1,0)</f>
        <v>0</v>
      </c>
    </row>
    <row r="63" ht="78.75" customHeight="1">
      <c r="A63" s="4">
</c>
      <c r="B63" s="4">
</c>
      <c r="C63" s="8">
</c>
      <c r="D63" s="8">
</c>
      <c r="E63" s="4">
</c>
      <c r="F63">
</c>
      <c r="G63" s="9" cm="1" t="str">
        <f t="array" ref="G63">IF(F63="","",SUBSTITUTE(SUBSTITUTE(SUBSTITUTE(SUBSTITUTE(F63,"&lt;li&gt;",CHAR(10)),"&lt;/li&gt;",""),"&lt;br&gt;",CHAR(10)),"&lt;strong&gt;",""))</f>
        <v/>
      </c>
      <c r="H63" s="9" cm="1" t="str">
        <f t="array" ref="H63">IF(G63="","",SUBSTITUTE(SUBSTITUTE(SUBSTITUTE(SUBSTITUTE(SUBSTITUTE(G63,"&lt;p&gt;",""),"&lt;/p&gt;",""),"&lt;ul&gt;",""),"&lt;/ul&gt;",""),"&lt;/strong&gt;",""))</f>
        <v/>
      </c>
      <c r="I63" s="9" cm="1" t="str">
        <f t="array" ref="I63">IF(C63="","",IF(OR(H63="",H63=0,H63=FALSE),"-",H63))</f>
        <v/>
      </c>
      <c r="J63">
</c>
      <c r="K63" s="4">
</c>
      <c r="L63" s="4" cm="1" t="str">
        <f t="array" ref="L63">IF(C63="","",IF(K63="Mort / Plus rien à faire","KO","OK"))</f>
        <v/>
      </c>
      <c r="M63" s="10">
</c>
      <c r="N63" s="10" cm="1" t="str">
        <f t="array" ref="N63">IF(OR(C63="",M63="",M63=0),"",M63)</f>
        <v/>
      </c>
      <c r="O63" s="10">
</c>
      <c r="P63" s="10" cm="1" t="str">
        <f t="array" ref="P63">IF(C63="","",IF(OR(O63="",O63=0),"-",O63))</f>
        <v/>
      </c>
      <c r="Q63" s="11">
</c>
      <c r="R63" s="4" cm="1" t="str">
        <f t="array" ref="R63">IF(C63="","",ROUND(Q63/1000000,3)&amp;" M€")</f>
        <v/>
      </c>
      <c r="S63" s="12">
</c>
      <c r="T63" s="4" cm="1" t="str">
        <f t="array" ref="T63">IF(C63="","",SUBSTITUTE(S63,"","")&amp;"%")</f>
        <v/>
      </c>
      <c r="U63" s="4" cm="1" t="str">
        <f t="array" ref="U63">IF(($N63="")*($P63=""),"",IF(($N63&lt;&gt;"")*($N63&gt;TODAY()-9)*($N63&lt;TODAY()+1)*($P63&lt;&gt;"")*($P63&gt;=TODAY())*($P63&lt;=TODAY()+13),"Semaine passée &amp; à venir",IF(($N63&lt;&gt;"")*($N63&gt;TODAY()-9)*($N63&lt;TODAY()+1),"Semaine passée",IF(($P63&lt;&gt;"")*($P63&gt;=TODAY())*($P63&lt;=TODAY()+13),"À venir","Autre"))))</f>
        <v/>
      </c>
      <c r="V63" cm="1" t="n">
        <f t="array" ref="V63">IF(C63&lt;&gt;"",1,0)</f>
        <v>0</v>
      </c>
    </row>
    <row r="64" ht="78.75" customHeight="1">
      <c r="A64" s="4">
</c>
      <c r="B64" s="4">
</c>
      <c r="C64" s="8">
</c>
      <c r="D64" s="8">
</c>
      <c r="E64" s="4">
</c>
      <c r="F64">
</c>
      <c r="G64" s="9" cm="1" t="str">
        <f t="array" ref="G64">IF(F64="","",SUBSTITUTE(SUBSTITUTE(SUBSTITUTE(SUBSTITUTE(F64,"&lt;li&gt;",CHAR(10)),"&lt;/li&gt;",""),"&lt;br&gt;",CHAR(10)),"&lt;strong&gt;",""))</f>
        <v/>
      </c>
      <c r="H64" s="9" cm="1" t="str">
        <f t="array" ref="H64">IF(G64="","",SUBSTITUTE(SUBSTITUTE(SUBSTITUTE(SUBSTITUTE(SUBSTITUTE(G64,"&lt;p&gt;",""),"&lt;/p&gt;",""),"&lt;ul&gt;",""),"&lt;/ul&gt;",""),"&lt;/strong&gt;",""))</f>
        <v/>
      </c>
      <c r="I64" s="9" cm="1" t="str">
        <f t="array" ref="I64">IF(C64="","",IF(OR(H64="",H64=0,H64=FALSE),"-",H64))</f>
        <v/>
      </c>
      <c r="J64">
</c>
      <c r="K64" s="4">
</c>
      <c r="L64" s="4" cm="1" t="str">
        <f t="array" ref="L64">IF(C64="","",IF(K64="Mort / Plus rien à faire","KO","OK"))</f>
        <v/>
      </c>
      <c r="M64" s="10">
</c>
      <c r="N64" s="10" cm="1" t="str">
        <f t="array" ref="N64">IF(OR(C64="",M64="",M64=0),"",M64)</f>
        <v/>
      </c>
      <c r="O64" s="10">
</c>
      <c r="P64" s="10" cm="1" t="str">
        <f t="array" ref="P64">IF(C64="","",IF(OR(O64="",O64=0),"-",O64))</f>
        <v/>
      </c>
      <c r="Q64" s="11">
</c>
      <c r="R64" s="4" cm="1" t="str">
        <f t="array" ref="R64">IF(C64="","",ROUND(Q64/1000000,3)&amp;" M€")</f>
        <v/>
      </c>
      <c r="S64" s="12">
</c>
      <c r="T64" s="4" cm="1" t="str">
        <f t="array" ref="T64">IF(C64="","",SUBSTITUTE(S64,"","")&amp;"%")</f>
        <v/>
      </c>
      <c r="U64" s="4" cm="1" t="str">
        <f t="array" ref="U64">IF(($N64="")*($P64=""),"",IF(($N64&lt;&gt;"")*($N64&gt;TODAY()-9)*($N64&lt;TODAY()+1)*($P64&lt;&gt;"")*($P64&gt;=TODAY())*($P64&lt;=TODAY()+13),"Semaine passée &amp; à venir",IF(($N64&lt;&gt;"")*($N64&gt;TODAY()-9)*($N64&lt;TODAY()+1),"Semaine passée",IF(($P64&lt;&gt;"")*($P64&gt;=TODAY())*($P64&lt;=TODAY()+13),"À venir","Autre"))))</f>
        <v/>
      </c>
      <c r="V64" cm="1" t="n">
        <f t="array" ref="V64">IF(C64&lt;&gt;"",1,0)</f>
        <v>0</v>
      </c>
    </row>
    <row r="65" ht="78.75" customHeight="1">
      <c r="A65" s="4">
</c>
      <c r="B65" s="4">
</c>
      <c r="C65" s="8">
</c>
      <c r="D65" s="8">
</c>
      <c r="E65" s="4">
</c>
      <c r="F65">
</c>
      <c r="G65" s="9" cm="1" t="str">
        <f t="array" ref="G65">IF(F65="","",SUBSTITUTE(SUBSTITUTE(SUBSTITUTE(SUBSTITUTE(F65,"&lt;li&gt;",CHAR(10)),"&lt;/li&gt;",""),"&lt;br&gt;",CHAR(10)),"&lt;strong&gt;",""))</f>
        <v/>
      </c>
      <c r="H65" s="9" cm="1" t="str">
        <f t="array" ref="H65">IF(G65="","",SUBSTITUTE(SUBSTITUTE(SUBSTITUTE(SUBSTITUTE(SUBSTITUTE(G65,"&lt;p&gt;",""),"&lt;/p&gt;",""),"&lt;ul&gt;",""),"&lt;/ul&gt;",""),"&lt;/strong&gt;",""))</f>
        <v/>
      </c>
      <c r="I65" s="9" cm="1" t="str">
        <f t="array" ref="I65">IF(C65="","",IF(OR(H65="",H65=0,H65=FALSE),"-",H65))</f>
        <v/>
      </c>
      <c r="J65">
</c>
      <c r="K65" s="4">
</c>
      <c r="L65" s="4" cm="1" t="str">
        <f t="array" ref="L65">IF(C65="","",IF(K65="Mort / Plus rien à faire","KO","OK"))</f>
        <v/>
      </c>
      <c r="M65" s="10">
</c>
      <c r="N65" s="10" cm="1" t="str">
        <f t="array" ref="N65">IF(OR(C65="",M65="",M65=0),"",M65)</f>
        <v/>
      </c>
      <c r="O65" s="10">
</c>
      <c r="P65" s="10" cm="1" t="str">
        <f t="array" ref="P65">IF(C65="","",IF(OR(O65="",O65=0),"-",O65))</f>
        <v/>
      </c>
      <c r="Q65" s="11">
</c>
      <c r="R65" s="4" cm="1" t="str">
        <f t="array" ref="R65">IF(C65="","",ROUND(Q65/1000000,3)&amp;" M€")</f>
        <v/>
      </c>
      <c r="S65" s="12">
</c>
      <c r="T65" s="4" cm="1" t="str">
        <f t="array" ref="T65">IF(C65="","",SUBSTITUTE(S65,"","")&amp;"%")</f>
        <v/>
      </c>
      <c r="U65" s="4" cm="1" t="str">
        <f t="array" ref="U65">IF(($N65="")*($P65=""),"",IF(($N65&lt;&gt;"")*($N65&gt;TODAY()-9)*($N65&lt;TODAY()+1)*($P65&lt;&gt;"")*($P65&gt;=TODAY())*($P65&lt;=TODAY()+13),"Semaine passée &amp; à venir",IF(($N65&lt;&gt;"")*($N65&gt;TODAY()-9)*($N65&lt;TODAY()+1),"Semaine passée",IF(($P65&lt;&gt;"")*($P65&gt;=TODAY())*($P65&lt;=TODAY()+13),"À venir","Autre"))))</f>
        <v/>
      </c>
      <c r="V65" cm="1" t="n">
        <f t="array" ref="V65">IF(C65&lt;&gt;"",1,0)</f>
        <v>0</v>
      </c>
    </row>
    <row r="66" ht="78.75" customHeight="1">
      <c r="A66" s="4">
</c>
      <c r="B66" s="4">
</c>
      <c r="C66" s="8">
</c>
      <c r="D66" s="8">
</c>
      <c r="E66" s="4">
</c>
      <c r="F66">
</c>
      <c r="G66" s="9" cm="1" t="str">
        <f t="array" ref="G66">IF(F66="","",SUBSTITUTE(SUBSTITUTE(SUBSTITUTE(SUBSTITUTE(F66,"&lt;li&gt;",CHAR(10)),"&lt;/li&gt;",""),"&lt;br&gt;",CHAR(10)),"&lt;strong&gt;",""))</f>
        <v/>
      </c>
      <c r="H66" s="9" cm="1" t="str">
        <f t="array" ref="H66">IF(G66="","",SUBSTITUTE(SUBSTITUTE(SUBSTITUTE(SUBSTITUTE(SUBSTITUTE(G66,"&lt;p&gt;",""),"&lt;/p&gt;",""),"&lt;ul&gt;",""),"&lt;/ul&gt;",""),"&lt;/strong&gt;",""))</f>
        <v/>
      </c>
      <c r="I66" s="9" cm="1" t="str">
        <f t="array" ref="I66">IF(C66="","",IF(OR(H66="",H66=0,H66=FALSE),"-",H66))</f>
        <v/>
      </c>
      <c r="J66">
</c>
      <c r="K66" s="4">
</c>
      <c r="L66" s="4" cm="1" t="str">
        <f t="array" ref="L66">IF(C66="","",IF(K66="Mort / Plus rien à faire","KO","OK"))</f>
        <v/>
      </c>
      <c r="M66" s="10">
</c>
      <c r="N66" s="10" cm="1" t="str">
        <f t="array" ref="N66">IF(OR(C66="",M66="",M66=0),"",M66)</f>
        <v/>
      </c>
      <c r="O66" s="10">
</c>
      <c r="P66" s="10" cm="1" t="str">
        <f t="array" ref="P66">IF(C66="","",IF(OR(O66="",O66=0),"-",O66))</f>
        <v/>
      </c>
      <c r="Q66" s="11">
</c>
      <c r="R66" s="4" cm="1" t="str">
        <f t="array" ref="R66">IF(C66="","",ROUND(Q66/1000000,3)&amp;" M€")</f>
        <v/>
      </c>
      <c r="S66" s="12">
</c>
      <c r="T66" s="4" cm="1" t="str">
        <f t="array" ref="T66">IF(C66="","",SUBSTITUTE(S66,"","")&amp;"%")</f>
        <v/>
      </c>
      <c r="U66" s="4" cm="1" t="str">
        <f t="array" ref="U66">IF(($N66="")*($P66=""),"",IF(($N66&lt;&gt;"")*($N66&gt;TODAY()-9)*($N66&lt;TODAY()+1)*($P66&lt;&gt;"")*($P66&gt;=TODAY())*($P66&lt;=TODAY()+13),"Semaine passée &amp; à venir",IF(($N66&lt;&gt;"")*($N66&gt;TODAY()-9)*($N66&lt;TODAY()+1),"Semaine passée",IF(($P66&lt;&gt;"")*($P66&gt;=TODAY())*($P66&lt;=TODAY()+13),"À venir","Autre"))))</f>
        <v/>
      </c>
      <c r="V66" cm="1" t="n">
        <f t="array" ref="V66">IF(C66&lt;&gt;"",1,0)</f>
        <v>0</v>
      </c>
    </row>
    <row r="67" ht="78.75" customHeight="1">
      <c r="A67" s="4">
</c>
      <c r="B67" s="4">
</c>
      <c r="C67" s="8">
</c>
      <c r="D67" s="8">
</c>
      <c r="E67" s="4">
</c>
      <c r="F67">
</c>
      <c r="G67" s="9" cm="1" t="str">
        <f t="array" ref="G67">IF(F67="","",SUBSTITUTE(SUBSTITUTE(SUBSTITUTE(SUBSTITUTE(F67,"&lt;li&gt;",CHAR(10)),"&lt;/li&gt;",""),"&lt;br&gt;",CHAR(10)),"&lt;strong&gt;",""))</f>
        <v/>
      </c>
      <c r="H67" s="9" cm="1" t="str">
        <f t="array" ref="H67">IF(G67="","",SUBSTITUTE(SUBSTITUTE(SUBSTITUTE(SUBSTITUTE(SUBSTITUTE(G67,"&lt;p&gt;",""),"&lt;/p&gt;",""),"&lt;ul&gt;",""),"&lt;/ul&gt;",""),"&lt;/strong&gt;",""))</f>
        <v/>
      </c>
      <c r="I67" s="9" cm="1" t="str">
        <f t="array" ref="I67">IF(C67="","",IF(OR(H67="",H67=0,H67=FALSE),"-",H67))</f>
        <v/>
      </c>
      <c r="J67">
</c>
      <c r="K67" s="4">
</c>
      <c r="L67" s="4" cm="1" t="str">
        <f t="array" ref="L67">IF(C67="","",IF(K67="Mort / Plus rien à faire","KO","OK"))</f>
        <v/>
      </c>
      <c r="M67" s="10">
</c>
      <c r="N67" s="10" cm="1" t="str">
        <f t="array" ref="N67">IF(OR(C67="",M67="",M67=0),"",M67)</f>
        <v/>
      </c>
      <c r="O67" s="10">
</c>
      <c r="P67" s="10" cm="1" t="str">
        <f t="array" ref="P67">IF(C67="","",IF(OR(O67="",O67=0),"-",O67))</f>
        <v/>
      </c>
      <c r="Q67" s="11">
</c>
      <c r="R67" s="4" cm="1" t="str">
        <f t="array" ref="R67">IF(C67="","",ROUND(Q67/1000000,3)&amp;" M€")</f>
        <v/>
      </c>
      <c r="S67" s="12">
</c>
      <c r="T67" s="4" cm="1" t="str">
        <f t="array" ref="T67">IF(C67="","",SUBSTITUTE(S67,"","")&amp;"%")</f>
        <v/>
      </c>
      <c r="U67" s="4" cm="1" t="str">
        <f t="array" ref="U67">IF(($N67="")*($P67=""),"",IF(($N67&lt;&gt;"")*($N67&gt;TODAY()-9)*($N67&lt;TODAY()+1)*($P67&lt;&gt;"")*($P67&gt;=TODAY())*($P67&lt;=TODAY()+13),"Semaine passée &amp; à venir",IF(($N67&lt;&gt;"")*($N67&gt;TODAY()-9)*($N67&lt;TODAY()+1),"Semaine passée",IF(($P67&lt;&gt;"")*($P67&gt;=TODAY())*($P67&lt;=TODAY()+13),"À venir","Autre"))))</f>
        <v/>
      </c>
      <c r="V67" cm="1" t="n">
        <f t="array" ref="V67">IF(C67&lt;&gt;"",1,0)</f>
        <v>0</v>
      </c>
    </row>
    <row r="68" ht="78.75" customHeight="1">
      <c r="A68" s="4">
</c>
      <c r="B68" s="4">
</c>
      <c r="C68" s="8">
</c>
      <c r="D68" s="8">
</c>
      <c r="E68" s="4">
</c>
      <c r="F68">
</c>
      <c r="G68" s="9" cm="1" t="str">
        <f t="array" ref="G68">IF(F68="","",SUBSTITUTE(SUBSTITUTE(SUBSTITUTE(SUBSTITUTE(F68,"&lt;li&gt;",CHAR(10)),"&lt;/li&gt;",""),"&lt;br&gt;",CHAR(10)),"&lt;strong&gt;",""))</f>
        <v/>
      </c>
      <c r="H68" s="9" cm="1" t="str">
        <f t="array" ref="H68">IF(G68="","",SUBSTITUTE(SUBSTITUTE(SUBSTITUTE(SUBSTITUTE(SUBSTITUTE(G68,"&lt;p&gt;",""),"&lt;/p&gt;",""),"&lt;ul&gt;",""),"&lt;/ul&gt;",""),"&lt;/strong&gt;",""))</f>
        <v/>
      </c>
      <c r="I68" s="9" cm="1" t="str">
        <f t="array" ref="I68">IF(C68="","",IF(OR(H68="",H68=0,H68=FALSE),"-",H68))</f>
        <v/>
      </c>
      <c r="J68">
</c>
      <c r="K68" s="4">
</c>
      <c r="L68" s="4" cm="1" t="str">
        <f t="array" ref="L68">IF(C68="","",IF(K68="Mort / Plus rien à faire","KO","OK"))</f>
        <v/>
      </c>
      <c r="M68" s="10">
</c>
      <c r="N68" s="10" cm="1" t="str">
        <f t="array" ref="N68">IF(OR(C68="",M68="",M68=0),"",M68)</f>
        <v/>
      </c>
      <c r="O68" s="10">
</c>
      <c r="P68" s="10" cm="1" t="str">
        <f t="array" ref="P68">IF(C68="","",IF(OR(O68="",O68=0),"-",O68))</f>
        <v/>
      </c>
      <c r="Q68" s="11">
</c>
      <c r="R68" s="4" cm="1" t="str">
        <f t="array" ref="R68">IF(C68="","",ROUND(Q68/1000000,3)&amp;" M€")</f>
        <v/>
      </c>
      <c r="S68" s="12">
</c>
      <c r="T68" s="4" cm="1" t="str">
        <f t="array" ref="T68">IF(C68="","",SUBSTITUTE(S68,"","")&amp;"%")</f>
        <v/>
      </c>
      <c r="U68" s="4" cm="1" t="str">
        <f t="array" ref="U68">IF(($N68="")*($P68=""),"",IF(($N68&lt;&gt;"")*($N68&gt;TODAY()-9)*($N68&lt;TODAY()+1)*($P68&lt;&gt;"")*($P68&gt;=TODAY())*($P68&lt;=TODAY()+13),"Semaine passée &amp; à venir",IF(($N68&lt;&gt;"")*($N68&gt;TODAY()-9)*($N68&lt;TODAY()+1),"Semaine passée",IF(($P68&lt;&gt;"")*($P68&gt;=TODAY())*($P68&lt;=TODAY()+13),"À venir","Autre"))))</f>
        <v/>
      </c>
      <c r="V68" cm="1" t="n">
        <f t="array" ref="V68">IF(C68&lt;&gt;"",1,0)</f>
        <v>0</v>
      </c>
    </row>
    <row r="69" ht="78.75" customHeight="1">
      <c r="A69" s="4">
</c>
      <c r="B69" s="4">
</c>
      <c r="C69" s="8">
</c>
      <c r="D69" s="8">
</c>
      <c r="E69" s="4">
</c>
      <c r="F69">
</c>
      <c r="G69" s="9" cm="1" t="str">
        <f t="array" ref="G69">IF(F69="","",SUBSTITUTE(SUBSTITUTE(SUBSTITUTE(SUBSTITUTE(F69,"&lt;li&gt;",CHAR(10)),"&lt;/li&gt;",""),"&lt;br&gt;",CHAR(10)),"&lt;strong&gt;",""))</f>
        <v/>
      </c>
      <c r="H69" s="9" cm="1" t="str">
        <f t="array" ref="H69">IF(G69="","",SUBSTITUTE(SUBSTITUTE(SUBSTITUTE(SUBSTITUTE(SUBSTITUTE(G69,"&lt;p&gt;",""),"&lt;/p&gt;",""),"&lt;ul&gt;",""),"&lt;/ul&gt;",""),"&lt;/strong&gt;",""))</f>
        <v/>
      </c>
      <c r="I69" s="9" cm="1" t="str">
        <f t="array" ref="I69">IF(C69="","",IF(OR(H69="",H69=0,H69=FALSE),"-",H69))</f>
        <v/>
      </c>
      <c r="J69">
</c>
      <c r="K69" s="4">
</c>
      <c r="L69" s="4" cm="1" t="str">
        <f t="array" ref="L69">IF(C69="","",IF(K69="Mort / Plus rien à faire","KO","OK"))</f>
        <v/>
      </c>
      <c r="M69" s="10">
</c>
      <c r="N69" s="10" cm="1" t="str">
        <f t="array" ref="N69">IF(OR(C69="",M69="",M69=0),"",M69)</f>
        <v/>
      </c>
      <c r="O69" s="10">
</c>
      <c r="P69" s="10" cm="1" t="str">
        <f t="array" ref="P69">IF(C69="","",IF(OR(O69="",O69=0),"-",O69))</f>
        <v/>
      </c>
      <c r="Q69" s="11">
</c>
      <c r="R69" s="4" cm="1" t="str">
        <f t="array" ref="R69">IF(C69="","",ROUND(Q69/1000000,3)&amp;" M€")</f>
        <v/>
      </c>
      <c r="S69" s="12">
</c>
      <c r="T69" s="4" cm="1" t="str">
        <f t="array" ref="T69">IF(C69="","",SUBSTITUTE(S69,"","")&amp;"%")</f>
        <v/>
      </c>
      <c r="U69" s="4" cm="1" t="str">
        <f t="array" ref="U69">IF(($N69="")*($P69=""),"",IF(($N69&lt;&gt;"")*($N69&gt;TODAY()-9)*($N69&lt;TODAY()+1)*($P69&lt;&gt;"")*($P69&gt;=TODAY())*($P69&lt;=TODAY()+13),"Semaine passée &amp; à venir",IF(($N69&lt;&gt;"")*($N69&gt;TODAY()-9)*($N69&lt;TODAY()+1),"Semaine passée",IF(($P69&lt;&gt;"")*($P69&gt;=TODAY())*($P69&lt;=TODAY()+13),"À venir","Autre"))))</f>
        <v/>
      </c>
      <c r="V69" cm="1" t="n">
        <f t="array" ref="V69">IF(C69&lt;&gt;"",1,0)</f>
        <v>0</v>
      </c>
    </row>
    <row r="70" ht="78.75" customHeight="1">
      <c r="A70" s="4">
</c>
      <c r="B70" s="4">
</c>
      <c r="C70" s="8">
</c>
      <c r="D70" s="8">
</c>
      <c r="E70" s="4">
</c>
      <c r="F70">
</c>
      <c r="G70" s="9" cm="1" t="str">
        <f t="array" ref="G70">IF(F70="","",SUBSTITUTE(SUBSTITUTE(SUBSTITUTE(SUBSTITUTE(F70,"&lt;li&gt;",CHAR(10)),"&lt;/li&gt;",""),"&lt;br&gt;",CHAR(10)),"&lt;strong&gt;",""))</f>
        <v/>
      </c>
      <c r="H70" s="9" cm="1" t="str">
        <f t="array" ref="H70">IF(G70="","",SUBSTITUTE(SUBSTITUTE(SUBSTITUTE(SUBSTITUTE(SUBSTITUTE(G70,"&lt;p&gt;",""),"&lt;/p&gt;",""),"&lt;ul&gt;",""),"&lt;/ul&gt;",""),"&lt;/strong&gt;",""))</f>
        <v/>
      </c>
      <c r="I70" s="9" cm="1" t="str">
        <f t="array" ref="I70">IF(C70="","",IF(OR(H70="",H70=0,H70=FALSE),"-",H70))</f>
        <v/>
      </c>
      <c r="J70">
</c>
      <c r="K70" s="4">
</c>
      <c r="L70" s="4" cm="1" t="str">
        <f t="array" ref="L70">IF(C70="","",IF(K70="Mort / Plus rien à faire","KO","OK"))</f>
        <v/>
      </c>
      <c r="M70" s="10">
</c>
      <c r="N70" s="10" cm="1" t="str">
        <f t="array" ref="N70">IF(OR(C70="",M70="",M70=0),"",M70)</f>
        <v/>
      </c>
      <c r="O70" s="10">
</c>
      <c r="P70" s="10" cm="1" t="str">
        <f t="array" ref="P70">IF(C70="","",IF(OR(O70="",O70=0),"-",O70))</f>
        <v/>
      </c>
      <c r="Q70" s="11">
</c>
      <c r="R70" s="4" cm="1" t="str">
        <f t="array" ref="R70">IF(C70="","",ROUND(Q70/1000000,3)&amp;" M€")</f>
        <v/>
      </c>
      <c r="S70" s="12">
</c>
      <c r="T70" s="4" cm="1" t="str">
        <f t="array" ref="T70">IF(C70="","",SUBSTITUTE(S70,"","")&amp;"%")</f>
        <v/>
      </c>
      <c r="U70" s="4" cm="1" t="str">
        <f t="array" ref="U70">IF(($N70="")*($P70=""),"",IF(($N70&lt;&gt;"")*($N70&gt;TODAY()-9)*($N70&lt;TODAY()+1)*($P70&lt;&gt;"")*($P70&gt;=TODAY())*($P70&lt;=TODAY()+13),"Semaine passée &amp; à venir",IF(($N70&lt;&gt;"")*($N70&gt;TODAY()-9)*($N70&lt;TODAY()+1),"Semaine passée",IF(($P70&lt;&gt;"")*($P70&gt;=TODAY())*($P70&lt;=TODAY()+13),"À venir","Autre"))))</f>
        <v/>
      </c>
      <c r="V70" cm="1" t="n">
        <f t="array" ref="V70">IF(C70&lt;&gt;"",1,0)</f>
        <v>0</v>
      </c>
    </row>
    <row r="71" ht="78.75" customHeight="1">
      <c r="A71" s="4">
</c>
      <c r="B71" s="4">
</c>
      <c r="C71" s="8">
</c>
      <c r="D71" s="8">
</c>
      <c r="E71" s="4">
</c>
      <c r="F71">
</c>
      <c r="G71" s="9" cm="1" t="str">
        <f t="array" ref="G71">IF(F71="","",SUBSTITUTE(SUBSTITUTE(SUBSTITUTE(SUBSTITUTE(F71,"&lt;li&gt;",CHAR(10)),"&lt;/li&gt;",""),"&lt;br&gt;",CHAR(10)),"&lt;strong&gt;",""))</f>
        <v/>
      </c>
      <c r="H71" s="9" cm="1" t="str">
        <f t="array" ref="H71">IF(G71="","",SUBSTITUTE(SUBSTITUTE(SUBSTITUTE(SUBSTITUTE(SUBSTITUTE(G71,"&lt;p&gt;",""),"&lt;/p&gt;",""),"&lt;ul&gt;",""),"&lt;/ul&gt;",""),"&lt;/strong&gt;",""))</f>
        <v/>
      </c>
      <c r="I71" s="9" cm="1" t="str">
        <f t="array" ref="I71">IF(C71="","",IF(OR(H71="",H71=0,H71=FALSE),"-",H71))</f>
        <v/>
      </c>
      <c r="J71">
</c>
      <c r="K71" s="4">
</c>
      <c r="L71" s="4" cm="1" t="str">
        <f t="array" ref="L71">IF(C71="","",IF(K71="Mort / Plus rien à faire","KO","OK"))</f>
        <v/>
      </c>
      <c r="M71" s="10">
</c>
      <c r="N71" s="10" cm="1" t="str">
        <f t="array" ref="N71">IF(OR(C71="",M71="",M71=0),"",M71)</f>
        <v/>
      </c>
      <c r="O71" s="10">
</c>
      <c r="P71" s="10" cm="1" t="str">
        <f t="array" ref="P71">IF(C71="","",IF(OR(O71="",O71=0),"-",O71))</f>
        <v/>
      </c>
      <c r="Q71" s="11">
</c>
      <c r="R71" s="4" cm="1" t="str">
        <f t="array" ref="R71">IF(C71="","",ROUND(Q71/1000000,3)&amp;" M€")</f>
        <v/>
      </c>
      <c r="S71" s="12">
</c>
      <c r="T71" s="4" cm="1" t="str">
        <f t="array" ref="T71">IF(C71="","",SUBSTITUTE(S71,"","")&amp;"%")</f>
        <v/>
      </c>
      <c r="U71" s="4" cm="1" t="str">
        <f t="array" ref="U71">IF(($N71="")*($P71=""),"",IF(($N71&lt;&gt;"")*($N71&gt;TODAY()-9)*($N71&lt;TODAY()+1)*($P71&lt;&gt;"")*($P71&gt;=TODAY())*($P71&lt;=TODAY()+13),"Semaine passée &amp; à venir",IF(($N71&lt;&gt;"")*($N71&gt;TODAY()-9)*($N71&lt;TODAY()+1),"Semaine passée",IF(($P71&lt;&gt;"")*($P71&gt;=TODAY())*($P71&lt;=TODAY()+13),"À venir","Autre"))))</f>
        <v/>
      </c>
      <c r="V71" cm="1" t="n">
        <f t="array" ref="V71">IF(C71&lt;&gt;"",1,0)</f>
        <v>0</v>
      </c>
    </row>
    <row r="72" ht="78.75" customHeight="1">
      <c r="A72" s="4">
</c>
      <c r="B72" s="4">
</c>
      <c r="C72" s="8">
</c>
      <c r="D72" s="8">
</c>
      <c r="E72" s="4">
</c>
      <c r="F72">
</c>
      <c r="G72" s="9" cm="1" t="str">
        <f t="array" ref="G72">IF(F72="","",SUBSTITUTE(SUBSTITUTE(SUBSTITUTE(SUBSTITUTE(F72,"&lt;li&gt;",CHAR(10)),"&lt;/li&gt;",""),"&lt;br&gt;",CHAR(10)),"&lt;strong&gt;",""))</f>
        <v/>
      </c>
      <c r="H72" s="9" cm="1" t="str">
        <f t="array" ref="H72">IF(G72="","",SUBSTITUTE(SUBSTITUTE(SUBSTITUTE(SUBSTITUTE(SUBSTITUTE(G72,"&lt;p&gt;",""),"&lt;/p&gt;",""),"&lt;ul&gt;",""),"&lt;/ul&gt;",""),"&lt;/strong&gt;",""))</f>
        <v/>
      </c>
      <c r="I72" s="9" cm="1" t="str">
        <f t="array" ref="I72">IF(C72="","",IF(OR(H72="",H72=0,H72=FALSE),"-",H72))</f>
        <v/>
      </c>
      <c r="J72">
</c>
      <c r="K72" s="4">
</c>
      <c r="L72" s="4" cm="1" t="str">
        <f t="array" ref="L72">IF(C72="","",IF(K72="Mort / Plus rien à faire","KO","OK"))</f>
        <v/>
      </c>
      <c r="M72" s="10">
</c>
      <c r="N72" s="10" cm="1" t="str">
        <f t="array" ref="N72">IF(OR(C72="",M72="",M72=0),"",M72)</f>
        <v/>
      </c>
      <c r="O72" s="10">
</c>
      <c r="P72" s="10" cm="1" t="str">
        <f t="array" ref="P72">IF(C72="","",IF(OR(O72="",O72=0),"-",O72))</f>
        <v/>
      </c>
      <c r="Q72" s="11">
</c>
      <c r="R72" s="4" cm="1" t="str">
        <f t="array" ref="R72">IF(C72="","",ROUND(Q72/1000000,3)&amp;" M€")</f>
        <v/>
      </c>
      <c r="S72" s="12">
</c>
      <c r="T72" s="4" cm="1" t="str">
        <f t="array" ref="T72">IF(C72="","",SUBSTITUTE(S72,"","")&amp;"%")</f>
        <v/>
      </c>
      <c r="U72" s="4" cm="1" t="str">
        <f t="array" ref="U72">IF(($N72="")*($P72=""),"",IF(($N72&lt;&gt;"")*($N72&gt;TODAY()-9)*($N72&lt;TODAY()+1)*($P72&lt;&gt;"")*($P72&gt;=TODAY())*($P72&lt;=TODAY()+13),"Semaine passée &amp; à venir",IF(($N72&lt;&gt;"")*($N72&gt;TODAY()-9)*($N72&lt;TODAY()+1),"Semaine passée",IF(($P72&lt;&gt;"")*($P72&gt;=TODAY())*($P72&lt;=TODAY()+13),"À venir","Autre"))))</f>
        <v/>
      </c>
      <c r="V72" cm="1" t="n">
        <f t="array" ref="V72">IF(C72&lt;&gt;"",1,0)</f>
        <v>0</v>
      </c>
    </row>
    <row r="73" ht="78.75" customHeight="1">
      <c r="A73" s="4">
</c>
      <c r="B73" s="4">
</c>
      <c r="C73" s="8">
</c>
      <c r="D73" s="8">
</c>
      <c r="E73" s="4">
</c>
      <c r="F73">
</c>
      <c r="G73" s="9" cm="1" t="str">
        <f t="array" ref="G73">IF(F73="","",SUBSTITUTE(SUBSTITUTE(SUBSTITUTE(SUBSTITUTE(F73,"&lt;li&gt;",CHAR(10)),"&lt;/li&gt;",""),"&lt;br&gt;",CHAR(10)),"&lt;strong&gt;",""))</f>
        <v/>
      </c>
      <c r="H73" s="9" cm="1" t="str">
        <f t="array" ref="H73">IF(G73="","",SUBSTITUTE(SUBSTITUTE(SUBSTITUTE(SUBSTITUTE(SUBSTITUTE(G73,"&lt;p&gt;",""),"&lt;/p&gt;",""),"&lt;ul&gt;",""),"&lt;/ul&gt;",""),"&lt;/strong&gt;",""))</f>
        <v/>
      </c>
      <c r="I73" s="9" cm="1" t="str">
        <f t="array" ref="I73">IF(C73="","",IF(OR(H73="",H73=0,H73=FALSE),"-",H73))</f>
        <v/>
      </c>
      <c r="J73">
</c>
      <c r="K73" s="4">
</c>
      <c r="L73" s="4" cm="1" t="str">
        <f t="array" ref="L73">IF(C73="","",IF(K73="Mort / Plus rien à faire","KO","OK"))</f>
        <v/>
      </c>
      <c r="M73" s="10">
</c>
      <c r="N73" s="10" cm="1" t="str">
        <f t="array" ref="N73">IF(OR(C73="",M73="",M73=0),"",M73)</f>
        <v/>
      </c>
      <c r="O73" s="10">
</c>
      <c r="P73" s="10" cm="1" t="str">
        <f t="array" ref="P73">IF(C73="","",IF(OR(O73="",O73=0),"-",O73))</f>
        <v/>
      </c>
      <c r="Q73" s="11">
</c>
      <c r="R73" s="4" cm="1" t="str">
        <f t="array" ref="R73">IF(C73="","",ROUND(Q73/1000000,3)&amp;" M€")</f>
        <v/>
      </c>
      <c r="S73" s="12">
</c>
      <c r="T73" s="4" cm="1" t="str">
        <f t="array" ref="T73">IF(C73="","",SUBSTITUTE(S73,"","")&amp;"%")</f>
        <v/>
      </c>
      <c r="U73" s="4" cm="1" t="str">
        <f t="array" ref="U73">IF(($N73="")*($P73=""),"",IF(($N73&lt;&gt;"")*($N73&gt;TODAY()-9)*($N73&lt;TODAY()+1)*($P73&lt;&gt;"")*($P73&gt;=TODAY())*($P73&lt;=TODAY()+13),"Semaine passée &amp; à venir",IF(($N73&lt;&gt;"")*($N73&gt;TODAY()-9)*($N73&lt;TODAY()+1),"Semaine passée",IF(($P73&lt;&gt;"")*($P73&gt;=TODAY())*($P73&lt;=TODAY()+13),"À venir","Autre"))))</f>
        <v/>
      </c>
      <c r="V73" cm="1" t="n">
        <f t="array" ref="V73">IF(C73&lt;&gt;"",1,0)</f>
        <v>0</v>
      </c>
    </row>
    <row r="74" ht="78.75" customHeight="1">
      <c r="A74" s="4">
</c>
      <c r="B74" s="4">
</c>
      <c r="C74" s="8">
</c>
      <c r="D74" s="8">
</c>
      <c r="E74" s="4">
</c>
      <c r="F74">
</c>
      <c r="G74" s="9" cm="1" t="str">
        <f t="array" ref="G74">IF(F74="","",SUBSTITUTE(SUBSTITUTE(SUBSTITUTE(SUBSTITUTE(F74,"&lt;li&gt;",CHAR(10)),"&lt;/li&gt;",""),"&lt;br&gt;",CHAR(10)),"&lt;strong&gt;",""))</f>
        <v/>
      </c>
      <c r="H74" s="9" cm="1" t="str">
        <f t="array" ref="H74">IF(G74="","",SUBSTITUTE(SUBSTITUTE(SUBSTITUTE(SUBSTITUTE(SUBSTITUTE(G74,"&lt;p&gt;",""),"&lt;/p&gt;",""),"&lt;ul&gt;",""),"&lt;/ul&gt;",""),"&lt;/strong&gt;",""))</f>
        <v/>
      </c>
      <c r="I74" s="9" cm="1" t="str">
        <f t="array" ref="I74">IF(C74="","",IF(OR(H74="",H74=0,H74=FALSE),"-",H74))</f>
        <v/>
      </c>
      <c r="J74">
</c>
      <c r="K74" s="4">
</c>
      <c r="L74" s="4" cm="1" t="str">
        <f t="array" ref="L74">IF(C74="","",IF(K74="Mort / Plus rien à faire","KO","OK"))</f>
        <v/>
      </c>
      <c r="M74" s="10">
</c>
      <c r="N74" s="10" cm="1" t="str">
        <f t="array" ref="N74">IF(OR(C74="",M74="",M74=0),"",M74)</f>
        <v/>
      </c>
      <c r="O74" s="10">
</c>
      <c r="P74" s="10" cm="1" t="str">
        <f t="array" ref="P74">IF(C74="","",IF(OR(O74="",O74=0),"-",O74))</f>
        <v/>
      </c>
      <c r="Q74" s="11">
</c>
      <c r="R74" s="4" cm="1" t="str">
        <f t="array" ref="R74">IF(C74="","",ROUND(Q74/1000000,3)&amp;" M€")</f>
        <v/>
      </c>
      <c r="S74" s="12">
</c>
      <c r="T74" s="4" cm="1" t="str">
        <f t="array" ref="T74">IF(C74="","",SUBSTITUTE(S74,"","")&amp;"%")</f>
        <v/>
      </c>
      <c r="U74" s="4" cm="1" t="str">
        <f t="array" ref="U74">IF(($N74="")*($P74=""),"",IF(($N74&lt;&gt;"")*($N74&gt;TODAY()-9)*($N74&lt;TODAY()+1)*($P74&lt;&gt;"")*($P74&gt;=TODAY())*($P74&lt;=TODAY()+13),"Semaine passée &amp; à venir",IF(($N74&lt;&gt;"")*($N74&gt;TODAY()-9)*($N74&lt;TODAY()+1),"Semaine passée",IF(($P74&lt;&gt;"")*($P74&gt;=TODAY())*($P74&lt;=TODAY()+13),"À venir","Autre"))))</f>
        <v/>
      </c>
      <c r="V74" cm="1" t="n">
        <f t="array" ref="V74">IF(C74&lt;&gt;"",1,0)</f>
        <v>0</v>
      </c>
    </row>
    <row r="75" ht="78.75" customHeight="1">
      <c r="A75" s="4">
</c>
      <c r="B75" s="4">
</c>
      <c r="C75" s="8">
</c>
      <c r="D75" s="8">
</c>
      <c r="E75" s="4">
</c>
      <c r="F75">
</c>
      <c r="G75" s="9" cm="1" t="str">
        <f t="array" ref="G75">IF(F75="","",SUBSTITUTE(SUBSTITUTE(SUBSTITUTE(SUBSTITUTE(F75,"&lt;li&gt;",CHAR(10)),"&lt;/li&gt;",""),"&lt;br&gt;",CHAR(10)),"&lt;strong&gt;",""))</f>
        <v/>
      </c>
      <c r="H75" s="9" cm="1" t="str">
        <f t="array" ref="H75">IF(G75="","",SUBSTITUTE(SUBSTITUTE(SUBSTITUTE(SUBSTITUTE(SUBSTITUTE(G75,"&lt;p&gt;",""),"&lt;/p&gt;",""),"&lt;ul&gt;",""),"&lt;/ul&gt;",""),"&lt;/strong&gt;",""))</f>
        <v/>
      </c>
      <c r="I75" s="9" cm="1" t="str">
        <f t="array" ref="I75">IF(C75="","",IF(OR(H75="",H75=0,H75=FALSE),"-",H75))</f>
        <v/>
      </c>
      <c r="J75">
</c>
      <c r="K75" s="4">
</c>
      <c r="L75" s="4" cm="1" t="str">
        <f t="array" ref="L75">IF(C75="","",IF(K75="Mort / Plus rien à faire","KO","OK"))</f>
        <v/>
      </c>
      <c r="M75" s="10">
</c>
      <c r="N75" s="10" cm="1" t="str">
        <f t="array" ref="N75">IF(OR(C75="",M75="",M75=0),"",M75)</f>
        <v/>
      </c>
      <c r="O75" s="10">
</c>
      <c r="P75" s="10" cm="1" t="str">
        <f t="array" ref="P75">IF(C75="","",IF(OR(O75="",O75=0),"-",O75))</f>
        <v/>
      </c>
      <c r="Q75" s="11">
</c>
      <c r="R75" s="4" cm="1" t="str">
        <f t="array" ref="R75">IF(C75="","",ROUND(Q75/1000000,3)&amp;" M€")</f>
        <v/>
      </c>
      <c r="S75" s="12">
</c>
      <c r="T75" s="4" cm="1" t="str">
        <f t="array" ref="T75">IF(C75="","",SUBSTITUTE(S75,"","")&amp;"%")</f>
        <v/>
      </c>
      <c r="U75" s="4" cm="1" t="str">
        <f t="array" ref="U75">IF(($N75="")*($P75=""),"",IF(($N75&lt;&gt;"")*($N75&gt;TODAY()-9)*($N75&lt;TODAY()+1)*($P75&lt;&gt;"")*($P75&gt;=TODAY())*($P75&lt;=TODAY()+13),"Semaine passée &amp; à venir",IF(($N75&lt;&gt;"")*($N75&gt;TODAY()-9)*($N75&lt;TODAY()+1),"Semaine passée",IF(($P75&lt;&gt;"")*($P75&gt;=TODAY())*($P75&lt;=TODAY()+13),"À venir","Autre"))))</f>
        <v/>
      </c>
      <c r="V75" cm="1" t="n">
        <f t="array" ref="V75">IF(C75&lt;&gt;"",1,0)</f>
        <v>0</v>
      </c>
    </row>
    <row r="76" ht="78.75" customHeight="1">
      <c r="A76" s="4">
</c>
      <c r="B76" s="4">
</c>
      <c r="C76" s="8">
</c>
      <c r="D76" s="8">
</c>
      <c r="E76" s="4">
</c>
      <c r="F76">
</c>
      <c r="G76" s="9" cm="1" t="str">
        <f t="array" ref="G76">IF(F76="","",SUBSTITUTE(SUBSTITUTE(SUBSTITUTE(SUBSTITUTE(F76,"&lt;li&gt;",CHAR(10)),"&lt;/li&gt;",""),"&lt;br&gt;",CHAR(10)),"&lt;strong&gt;",""))</f>
        <v/>
      </c>
      <c r="H76" s="9" cm="1" t="str">
        <f t="array" ref="H76">IF(G76="","",SUBSTITUTE(SUBSTITUTE(SUBSTITUTE(SUBSTITUTE(SUBSTITUTE(G76,"&lt;p&gt;",""),"&lt;/p&gt;",""),"&lt;ul&gt;",""),"&lt;/ul&gt;",""),"&lt;/strong&gt;",""))</f>
        <v/>
      </c>
      <c r="I76" s="9" cm="1" t="str">
        <f t="array" ref="I76">IF(C76="","",IF(OR(H76="",H76=0,H76=FALSE),"-",H76))</f>
        <v/>
      </c>
      <c r="J76">
</c>
      <c r="K76" s="4">
</c>
      <c r="L76" s="4" cm="1" t="str">
        <f t="array" ref="L76">IF(C76="","",IF(K76="Mort / Plus rien à faire","KO","OK"))</f>
        <v/>
      </c>
      <c r="M76" s="10">
</c>
      <c r="N76" s="10" cm="1" t="str">
        <f t="array" ref="N76">IF(OR(C76="",M76="",M76=0),"",M76)</f>
        <v/>
      </c>
      <c r="O76" s="10">
</c>
      <c r="P76" s="10" cm="1" t="str">
        <f t="array" ref="P76">IF(C76="","",IF(OR(O76="",O76=0),"-",O76))</f>
        <v/>
      </c>
      <c r="Q76" s="11">
</c>
      <c r="R76" s="4" cm="1" t="str">
        <f t="array" ref="R76">IF(C76="","",ROUND(Q76/1000000,3)&amp;" M€")</f>
        <v/>
      </c>
      <c r="S76" s="12">
</c>
      <c r="T76" s="4" cm="1" t="str">
        <f t="array" ref="T76">IF(C76="","",SUBSTITUTE(S76,"","")&amp;"%")</f>
        <v/>
      </c>
      <c r="U76" s="4" cm="1" t="str">
        <f t="array" ref="U76">IF(($N76="")*($P76=""),"",IF(($N76&lt;&gt;"")*($N76&gt;TODAY()-9)*($N76&lt;TODAY()+1)*($P76&lt;&gt;"")*($P76&gt;=TODAY())*($P76&lt;=TODAY()+13),"Semaine passée &amp; à venir",IF(($N76&lt;&gt;"")*($N76&gt;TODAY()-9)*($N76&lt;TODAY()+1),"Semaine passée",IF(($P76&lt;&gt;"")*($P76&gt;=TODAY())*($P76&lt;=TODAY()+13),"À venir","Autre"))))</f>
        <v/>
      </c>
      <c r="V76" cm="1" t="n">
        <f t="array" ref="V76">IF(C76&lt;&gt;"",1,0)</f>
        <v>0</v>
      </c>
    </row>
    <row r="77" ht="78.75" customHeight="1">
      <c r="A77" s="4">
</c>
      <c r="B77" s="4">
</c>
      <c r="C77" s="8">
</c>
      <c r="D77" s="8">
</c>
      <c r="E77" s="4">
</c>
      <c r="F77">
</c>
      <c r="G77" s="9" cm="1" t="str">
        <f t="array" ref="G77">IF(F77="","",SUBSTITUTE(SUBSTITUTE(SUBSTITUTE(SUBSTITUTE(F77,"&lt;li&gt;",CHAR(10)),"&lt;/li&gt;",""),"&lt;br&gt;",CHAR(10)),"&lt;strong&gt;",""))</f>
        <v/>
      </c>
      <c r="H77" s="9" cm="1" t="str">
        <f t="array" ref="H77">IF(G77="","",SUBSTITUTE(SUBSTITUTE(SUBSTITUTE(SUBSTITUTE(SUBSTITUTE(G77,"&lt;p&gt;",""),"&lt;/p&gt;",""),"&lt;ul&gt;",""),"&lt;/ul&gt;",""),"&lt;/strong&gt;",""))</f>
        <v/>
      </c>
      <c r="I77" s="9" cm="1" t="str">
        <f t="array" ref="I77">IF(C77="","",IF(OR(H77="",H77=0,H77=FALSE),"-",H77))</f>
        <v/>
      </c>
      <c r="J77">
</c>
      <c r="K77" s="4">
</c>
      <c r="L77" s="4" cm="1" t="str">
        <f t="array" ref="L77">IF(C77="","",IF(K77="Mort / Plus rien à faire","KO","OK"))</f>
        <v/>
      </c>
      <c r="M77" s="10">
</c>
      <c r="N77" s="10" cm="1" t="str">
        <f t="array" ref="N77">IF(OR(C77="",M77="",M77=0),"",M77)</f>
        <v/>
      </c>
      <c r="O77" s="10">
</c>
      <c r="P77" s="10" cm="1" t="str">
        <f t="array" ref="P77">IF(C77="","",IF(OR(O77="",O77=0),"-",O77))</f>
        <v/>
      </c>
      <c r="Q77" s="11">
</c>
      <c r="R77" s="4" cm="1" t="str">
        <f t="array" ref="R77">IF(C77="","",ROUND(Q77/1000000,3)&amp;" M€")</f>
        <v/>
      </c>
      <c r="S77" s="12">
</c>
      <c r="T77" s="4" cm="1" t="str">
        <f t="array" ref="T77">IF(C77="","",SUBSTITUTE(S77,"","")&amp;"%")</f>
        <v/>
      </c>
      <c r="U77" s="4" cm="1" t="str">
        <f t="array" ref="U77">IF(($N77="")*($P77=""),"",IF(($N77&lt;&gt;"")*($N77&gt;TODAY()-9)*($N77&lt;TODAY()+1)*($P77&lt;&gt;"")*($P77&gt;=TODAY())*($P77&lt;=TODAY()+13),"Semaine passée &amp; à venir",IF(($N77&lt;&gt;"")*($N77&gt;TODAY()-9)*($N77&lt;TODAY()+1),"Semaine passée",IF(($P77&lt;&gt;"")*($P77&gt;=TODAY())*($P77&lt;=TODAY()+13),"À venir","Autre"))))</f>
        <v/>
      </c>
      <c r="V77" cm="1" t="n">
        <f t="array" ref="V77">IF(C77&lt;&gt;"",1,0)</f>
        <v>0</v>
      </c>
    </row>
    <row r="78" ht="78.75" customHeight="1">
      <c r="A78" s="4">
</c>
      <c r="B78" s="4">
</c>
      <c r="C78" s="8">
</c>
      <c r="D78" s="8">
</c>
      <c r="E78" s="4">
</c>
      <c r="F78">
</c>
      <c r="G78" s="9" cm="1" t="str">
        <f t="array" ref="G78">IF(F78="","",SUBSTITUTE(SUBSTITUTE(SUBSTITUTE(SUBSTITUTE(F78,"&lt;li&gt;",CHAR(10)),"&lt;/li&gt;",""),"&lt;br&gt;",CHAR(10)),"&lt;strong&gt;",""))</f>
        <v/>
      </c>
      <c r="H78" s="9" cm="1" t="str">
        <f t="array" ref="H78">IF(G78="","",SUBSTITUTE(SUBSTITUTE(SUBSTITUTE(SUBSTITUTE(SUBSTITUTE(G78,"&lt;p&gt;",""),"&lt;/p&gt;",""),"&lt;ul&gt;",""),"&lt;/ul&gt;",""),"&lt;/strong&gt;",""))</f>
        <v/>
      </c>
      <c r="I78" s="9" cm="1" t="str">
        <f t="array" ref="I78">IF(C78="","",IF(OR(H78="",H78=0,H78=FALSE),"-",H78))</f>
        <v/>
      </c>
      <c r="J78">
</c>
      <c r="K78" s="4">
</c>
      <c r="L78" s="4" cm="1" t="str">
        <f t="array" ref="L78">IF(C78="","",IF(K78="Mort / Plus rien à faire","KO","OK"))</f>
        <v/>
      </c>
      <c r="M78" s="10">
</c>
      <c r="N78" s="10" cm="1" t="str">
        <f t="array" ref="N78">IF(OR(C78="",M78="",M78=0),"",M78)</f>
        <v/>
      </c>
      <c r="O78" s="10">
</c>
      <c r="P78" s="10" cm="1" t="str">
        <f t="array" ref="P78">IF(C78="","",IF(OR(O78="",O78=0),"-",O78))</f>
        <v/>
      </c>
      <c r="Q78" s="11">
</c>
      <c r="R78" s="4" cm="1" t="str">
        <f t="array" ref="R78">IF(C78="","",ROUND(Q78/1000000,3)&amp;" M€")</f>
        <v/>
      </c>
      <c r="S78" s="12">
</c>
      <c r="T78" s="4" cm="1" t="str">
        <f t="array" ref="T78">IF(C78="","",SUBSTITUTE(S78,"","")&amp;"%")</f>
        <v/>
      </c>
      <c r="U78" s="4" cm="1" t="str">
        <f t="array" ref="U78">IF(($N78="")*($P78=""),"",IF(($N78&lt;&gt;"")*($N78&gt;TODAY()-9)*($N78&lt;TODAY()+1)*($P78&lt;&gt;"")*($P78&gt;=TODAY())*($P78&lt;=TODAY()+13),"Semaine passée &amp; à venir",IF(($N78&lt;&gt;"")*($N78&gt;TODAY()-9)*($N78&lt;TODAY()+1),"Semaine passée",IF(($P78&lt;&gt;"")*($P78&gt;=TODAY())*($P78&lt;=TODAY()+13),"À venir","Autre"))))</f>
        <v/>
      </c>
      <c r="V78" cm="1" t="n">
        <f t="array" ref="V78">IF(C78&lt;&gt;"",1,0)</f>
        <v>0</v>
      </c>
    </row>
    <row r="79" ht="78.75" customHeight="1">
      <c r="A79" s="4">
</c>
      <c r="B79" s="4">
</c>
      <c r="C79" s="8">
</c>
      <c r="D79" s="8">
</c>
      <c r="E79" s="4">
</c>
      <c r="F79">
</c>
      <c r="G79" s="9" cm="1" t="str">
        <f t="array" ref="G79">IF(F79="","",SUBSTITUTE(SUBSTITUTE(SUBSTITUTE(SUBSTITUTE(F79,"&lt;li&gt;",CHAR(10)),"&lt;/li&gt;",""),"&lt;br&gt;",CHAR(10)),"&lt;strong&gt;",""))</f>
        <v/>
      </c>
      <c r="H79" s="9" cm="1" t="str">
        <f t="array" ref="H79">IF(G79="","",SUBSTITUTE(SUBSTITUTE(SUBSTITUTE(SUBSTITUTE(SUBSTITUTE(G79,"&lt;p&gt;",""),"&lt;/p&gt;",""),"&lt;ul&gt;",""),"&lt;/ul&gt;",""),"&lt;/strong&gt;",""))</f>
        <v/>
      </c>
      <c r="I79" s="9" cm="1" t="str">
        <f t="array" ref="I79">IF(C79="","",IF(OR(H79="",H79=0,H79=FALSE),"-",H79))</f>
        <v/>
      </c>
      <c r="J79">
</c>
      <c r="K79" s="4">
</c>
      <c r="L79" s="4" cm="1" t="str">
        <f t="array" ref="L79">IF(C79="","",IF(K79="Mort / Plus rien à faire","KO","OK"))</f>
        <v/>
      </c>
      <c r="M79" s="10">
</c>
      <c r="N79" s="10" cm="1" t="str">
        <f t="array" ref="N79">IF(OR(C79="",M79="",M79=0),"",M79)</f>
        <v/>
      </c>
      <c r="O79" s="10">
</c>
      <c r="P79" s="10" cm="1" t="str">
        <f t="array" ref="P79">IF(C79="","",IF(OR(O79="",O79=0),"-",O79))</f>
        <v/>
      </c>
      <c r="Q79" s="11">
</c>
      <c r="R79" s="4" cm="1" t="str">
        <f t="array" ref="R79">IF(C79="","",ROUND(Q79/1000000,3)&amp;" M€")</f>
        <v/>
      </c>
      <c r="S79" s="12">
</c>
      <c r="T79" s="4" cm="1" t="str">
        <f t="array" ref="T79">IF(C79="","",SUBSTITUTE(S79,"","")&amp;"%")</f>
        <v/>
      </c>
      <c r="U79" s="4" cm="1" t="str">
        <f t="array" ref="U79">IF(($N79="")*($P79=""),"",IF(($N79&lt;&gt;"")*($N79&gt;TODAY()-9)*($N79&lt;TODAY()+1)*($P79&lt;&gt;"")*($P79&gt;=TODAY())*($P79&lt;=TODAY()+13),"Semaine passée &amp; à venir",IF(($N79&lt;&gt;"")*($N79&gt;TODAY()-9)*($N79&lt;TODAY()+1),"Semaine passée",IF(($P79&lt;&gt;"")*($P79&gt;=TODAY())*($P79&lt;=TODAY()+13),"À venir","Autre"))))</f>
        <v/>
      </c>
      <c r="V79" cm="1" t="n">
        <f t="array" ref="V79">IF(C79&lt;&gt;"",1,0)</f>
        <v>0</v>
      </c>
    </row>
    <row r="80" ht="78.75" customHeight="1">
      <c r="A80" s="4">
</c>
      <c r="B80" s="4">
</c>
      <c r="C80" s="8">
</c>
      <c r="D80" s="8">
</c>
      <c r="E80" s="4">
</c>
      <c r="F80">
</c>
      <c r="G80" s="9" cm="1" t="str">
        <f t="array" ref="G80">IF(F80="","",SUBSTITUTE(SUBSTITUTE(SUBSTITUTE(SUBSTITUTE(F80,"&lt;li&gt;",CHAR(10)),"&lt;/li&gt;",""),"&lt;br&gt;",CHAR(10)),"&lt;strong&gt;",""))</f>
        <v/>
      </c>
      <c r="H80" s="9" cm="1" t="str">
        <f t="array" ref="H80">IF(G80="","",SUBSTITUTE(SUBSTITUTE(SUBSTITUTE(SUBSTITUTE(SUBSTITUTE(G80,"&lt;p&gt;",""),"&lt;/p&gt;",""),"&lt;ul&gt;",""),"&lt;/ul&gt;",""),"&lt;/strong&gt;",""))</f>
        <v/>
      </c>
      <c r="I80" s="9" cm="1" t="str">
        <f t="array" ref="I80">IF(C80="","",IF(OR(H80="",H80=0,H80=FALSE),"-",H80))</f>
        <v/>
      </c>
      <c r="J80">
</c>
      <c r="K80" s="4">
</c>
      <c r="L80" s="4" cm="1" t="str">
        <f t="array" ref="L80">IF(C80="","",IF(K80="Mort / Plus rien à faire","KO","OK"))</f>
        <v/>
      </c>
      <c r="M80" s="10">
</c>
      <c r="N80" s="10" cm="1" t="str">
        <f t="array" ref="N80">IF(OR(C80="",M80="",M80=0),"",M80)</f>
        <v/>
      </c>
      <c r="O80" s="10">
</c>
      <c r="P80" s="10" cm="1" t="str">
        <f t="array" ref="P80">IF(C80="","",IF(OR(O80="",O80=0),"-",O80))</f>
        <v/>
      </c>
      <c r="Q80" s="11">
</c>
      <c r="R80" s="4" cm="1" t="str">
        <f t="array" ref="R80">IF(C80="","",ROUND(Q80/1000000,3)&amp;" M€")</f>
        <v/>
      </c>
      <c r="S80" s="12">
</c>
      <c r="T80" s="4" cm="1" t="str">
        <f t="array" ref="T80">IF(C80="","",SUBSTITUTE(S80,"","")&amp;"%")</f>
        <v/>
      </c>
      <c r="U80" s="4" cm="1" t="str">
        <f t="array" ref="U80">IF(($N80="")*($P80=""),"",IF(($N80&lt;&gt;"")*($N80&gt;TODAY()-9)*($N80&lt;TODAY()+1)*($P80&lt;&gt;"")*($P80&gt;=TODAY())*($P80&lt;=TODAY()+13),"Semaine passée &amp; à venir",IF(($N80&lt;&gt;"")*($N80&gt;TODAY()-9)*($N80&lt;TODAY()+1),"Semaine passée",IF(($P80&lt;&gt;"")*($P80&gt;=TODAY())*($P80&lt;=TODAY()+13),"À venir","Autre"))))</f>
        <v/>
      </c>
      <c r="V80" cm="1" t="n">
        <f t="array" ref="V80">IF(C80&lt;&gt;"",1,0)</f>
        <v>0</v>
      </c>
    </row>
    <row r="81" ht="78.75" customHeight="1">
      <c r="A81" s="4">
</c>
      <c r="B81" s="4">
</c>
      <c r="C81" s="8">
</c>
      <c r="D81" s="8">
</c>
      <c r="E81" s="4">
</c>
      <c r="F81">
</c>
      <c r="G81" s="9" cm="1" t="str">
        <f t="array" ref="G81">IF(F81="","",SUBSTITUTE(SUBSTITUTE(SUBSTITUTE(SUBSTITUTE(F81,"&lt;li&gt;",CHAR(10)),"&lt;/li&gt;",""),"&lt;br&gt;",CHAR(10)),"&lt;strong&gt;",""))</f>
        <v/>
      </c>
      <c r="H81" s="9" cm="1" t="str">
        <f t="array" ref="H81">IF(G81="","",SUBSTITUTE(SUBSTITUTE(SUBSTITUTE(SUBSTITUTE(SUBSTITUTE(G81,"&lt;p&gt;",""),"&lt;/p&gt;",""),"&lt;ul&gt;",""),"&lt;/ul&gt;",""),"&lt;/strong&gt;",""))</f>
        <v/>
      </c>
      <c r="I81" s="9" cm="1" t="str">
        <f t="array" ref="I81">IF(C81="","",IF(OR(H81="",H81=0,H81=FALSE),"-",H81))</f>
        <v/>
      </c>
      <c r="J81">
</c>
      <c r="K81" s="4">
</c>
      <c r="L81" s="4" cm="1" t="str">
        <f t="array" ref="L81">IF(C81="","",IF(K81="Mort / Plus rien à faire","KO","OK"))</f>
        <v/>
      </c>
      <c r="M81" s="10">
</c>
      <c r="N81" s="10" cm="1" t="str">
        <f t="array" ref="N81">IF(OR(C81="",M81="",M81=0),"",M81)</f>
        <v/>
      </c>
      <c r="O81" s="10">
</c>
      <c r="P81" s="10" cm="1" t="str">
        <f t="array" ref="P81">IF(C81="","",IF(OR(O81="",O81=0),"-",O81))</f>
        <v/>
      </c>
      <c r="Q81" s="11">
</c>
      <c r="R81" s="4" cm="1" t="str">
        <f t="array" ref="R81">IF(C81="","",ROUND(Q81/1000000,3)&amp;" M€")</f>
        <v/>
      </c>
      <c r="S81" s="12">
</c>
      <c r="T81" s="4" cm="1" t="str">
        <f t="array" ref="T81">IF(C81="","",SUBSTITUTE(S81,"","")&amp;"%")</f>
        <v/>
      </c>
      <c r="U81" s="4" cm="1" t="str">
        <f t="array" ref="U81">IF(($N81="")*($P81=""),"",IF(($N81&lt;&gt;"")*($N81&gt;TODAY()-9)*($N81&lt;TODAY()+1)*($P81&lt;&gt;"")*($P81&gt;=TODAY())*($P81&lt;=TODAY()+13),"Semaine passée &amp; à venir",IF(($N81&lt;&gt;"")*($N81&gt;TODAY()-9)*($N81&lt;TODAY()+1),"Semaine passée",IF(($P81&lt;&gt;"")*($P81&gt;=TODAY())*($P81&lt;=TODAY()+13),"À venir","Autre"))))</f>
        <v/>
      </c>
      <c r="V81" cm="1" t="n">
        <f t="array" ref="V81">IF(C81&lt;&gt;"",1,0)</f>
        <v>0</v>
      </c>
    </row>
    <row r="82" ht="78.75" customHeight="1">
      <c r="A82" s="4">
</c>
      <c r="B82" s="4">
</c>
      <c r="C82" s="8">
</c>
      <c r="D82" s="8">
</c>
      <c r="E82" s="4">
</c>
      <c r="F82">
</c>
      <c r="G82" s="9" cm="1" t="str">
        <f t="array" ref="G82">IF(F82="","",SUBSTITUTE(SUBSTITUTE(SUBSTITUTE(SUBSTITUTE(F82,"&lt;li&gt;",CHAR(10)),"&lt;/li&gt;",""),"&lt;br&gt;",CHAR(10)),"&lt;strong&gt;",""))</f>
        <v/>
      </c>
      <c r="H82" s="9" cm="1" t="str">
        <f t="array" ref="H82">IF(G82="","",SUBSTITUTE(SUBSTITUTE(SUBSTITUTE(SUBSTITUTE(SUBSTITUTE(G82,"&lt;p&gt;",""),"&lt;/p&gt;",""),"&lt;ul&gt;",""),"&lt;/ul&gt;",""),"&lt;/strong&gt;",""))</f>
        <v/>
      </c>
      <c r="I82" s="9" cm="1" t="str">
        <f t="array" ref="I82">IF(C82="","",IF(OR(H82="",H82=0,H82=FALSE),"-",H82))</f>
        <v/>
      </c>
      <c r="J82">
</c>
      <c r="K82" s="4">
</c>
      <c r="L82" s="4" cm="1" t="str">
        <f t="array" ref="L82">IF(C82="","",IF(K82="Mort / Plus rien à faire","KO","OK"))</f>
        <v/>
      </c>
      <c r="M82" s="10">
</c>
      <c r="N82" s="10" cm="1" t="str">
        <f t="array" ref="N82">IF(OR(C82="",M82="",M82=0),"",M82)</f>
        <v/>
      </c>
      <c r="O82" s="10">
</c>
      <c r="P82" s="10" cm="1" t="str">
        <f t="array" ref="P82">IF(C82="","",IF(OR(O82="",O82=0),"-",O82))</f>
        <v/>
      </c>
      <c r="Q82" s="11">
</c>
      <c r="R82" s="4" cm="1" t="str">
        <f t="array" ref="R82">IF(C82="","",ROUND(Q82/1000000,3)&amp;" M€")</f>
        <v/>
      </c>
      <c r="S82" s="12">
</c>
      <c r="T82" s="4" cm="1" t="str">
        <f t="array" ref="T82">IF(C82="","",SUBSTITUTE(S82,"","")&amp;"%")</f>
        <v/>
      </c>
      <c r="U82" s="4" cm="1" t="str">
        <f t="array" ref="U82">IF(($N82="")*($P82=""),"",IF(($N82&lt;&gt;"")*($N82&gt;TODAY()-9)*($N82&lt;TODAY()+1)*($P82&lt;&gt;"")*($P82&gt;=TODAY())*($P82&lt;=TODAY()+13),"Semaine passée &amp; à venir",IF(($N82&lt;&gt;"")*($N82&gt;TODAY()-9)*($N82&lt;TODAY()+1),"Semaine passée",IF(($P82&lt;&gt;"")*($P82&gt;=TODAY())*($P82&lt;=TODAY()+13),"À venir","Autre"))))</f>
        <v/>
      </c>
      <c r="V82" cm="1" t="n">
        <f t="array" ref="V82">IF(C82&lt;&gt;"",1,0)</f>
        <v>0</v>
      </c>
    </row>
    <row r="83" ht="78.75" customHeight="1">
      <c r="A83" s="4">
</c>
      <c r="B83" s="4">
</c>
      <c r="C83" s="8">
</c>
      <c r="D83" s="8">
</c>
      <c r="E83" s="4">
</c>
      <c r="F83">
</c>
      <c r="G83" s="9" cm="1" t="str">
        <f t="array" ref="G83">IF(F83="","",SUBSTITUTE(SUBSTITUTE(SUBSTITUTE(SUBSTITUTE(F83,"&lt;li&gt;",CHAR(10)),"&lt;/li&gt;",""),"&lt;br&gt;",CHAR(10)),"&lt;strong&gt;",""))</f>
        <v/>
      </c>
      <c r="H83" s="9" cm="1" t="str">
        <f t="array" ref="H83">IF(G83="","",SUBSTITUTE(SUBSTITUTE(SUBSTITUTE(SUBSTITUTE(SUBSTITUTE(G83,"&lt;p&gt;",""),"&lt;/p&gt;",""),"&lt;ul&gt;",""),"&lt;/ul&gt;",""),"&lt;/strong&gt;",""))</f>
        <v/>
      </c>
      <c r="I83" s="9" cm="1" t="str">
        <f t="array" ref="I83">IF(C83="","",IF(OR(H83="",H83=0,H83=FALSE),"-",H83))</f>
        <v/>
      </c>
      <c r="J83">
</c>
      <c r="K83" s="4">
</c>
      <c r="L83" s="4" cm="1" t="str">
        <f t="array" ref="L83">IF(C83="","",IF(K83="Mort / Plus rien à faire","KO","OK"))</f>
        <v/>
      </c>
      <c r="M83" s="10">
</c>
      <c r="N83" s="10" cm="1" t="str">
        <f t="array" ref="N83">IF(OR(C83="",M83="",M83=0),"",M83)</f>
        <v/>
      </c>
      <c r="O83" s="10">
</c>
      <c r="P83" s="10" cm="1" t="str">
        <f t="array" ref="P83">IF(C83="","",IF(OR(O83="",O83=0),"-",O83))</f>
        <v/>
      </c>
      <c r="Q83" s="11">
</c>
      <c r="R83" s="4" cm="1" t="str">
        <f t="array" ref="R83">IF(C83="","",ROUND(Q83/1000000,3)&amp;" M€")</f>
        <v/>
      </c>
      <c r="S83" s="12">
</c>
      <c r="T83" s="4" cm="1" t="str">
        <f t="array" ref="T83">IF(C83="","",SUBSTITUTE(S83,"","")&amp;"%")</f>
        <v/>
      </c>
      <c r="U83" s="4" cm="1" t="str">
        <f t="array" ref="U83">IF(($N83="")*($P83=""),"",IF(($N83&lt;&gt;"")*($N83&gt;TODAY()-9)*($N83&lt;TODAY()+1)*($P83&lt;&gt;"")*($P83&gt;=TODAY())*($P83&lt;=TODAY()+13),"Semaine passée &amp; à venir",IF(($N83&lt;&gt;"")*($N83&gt;TODAY()-9)*($N83&lt;TODAY()+1),"Semaine passée",IF(($P83&lt;&gt;"")*($P83&gt;=TODAY())*($P83&lt;=TODAY()+13),"À venir","Autre"))))</f>
        <v/>
      </c>
      <c r="V83" cm="1" t="n">
        <f t="array" ref="V83">IF(C83&lt;&gt;"",1,0)</f>
        <v>0</v>
      </c>
    </row>
    <row r="84" ht="78.75" customHeight="1">
      <c r="A84" s="4">
</c>
      <c r="B84" s="4">
</c>
      <c r="C84" s="8">
</c>
      <c r="D84" s="8">
</c>
      <c r="E84" s="4">
</c>
      <c r="F84">
</c>
      <c r="G84" s="9" cm="1" t="str">
        <f t="array" ref="G84">IF(F84="","",SUBSTITUTE(SUBSTITUTE(SUBSTITUTE(SUBSTITUTE(F84,"&lt;li&gt;",CHAR(10)),"&lt;/li&gt;",""),"&lt;br&gt;",CHAR(10)),"&lt;strong&gt;",""))</f>
        <v/>
      </c>
      <c r="H84" s="9" cm="1" t="str">
        <f t="array" ref="H84">IF(G84="","",SUBSTITUTE(SUBSTITUTE(SUBSTITUTE(SUBSTITUTE(SUBSTITUTE(G84,"&lt;p&gt;",""),"&lt;/p&gt;",""),"&lt;ul&gt;",""),"&lt;/ul&gt;",""),"&lt;/strong&gt;",""))</f>
        <v/>
      </c>
      <c r="I84" s="9" cm="1" t="str">
        <f t="array" ref="I84">IF(C84="","",IF(OR(H84="",H84=0,H84=FALSE),"-",H84))</f>
        <v/>
      </c>
      <c r="J84">
</c>
      <c r="K84" s="4">
</c>
      <c r="L84" s="4" cm="1" t="str">
        <f t="array" ref="L84">IF(C84="","",IF(K84="Mort / Plus rien à faire","KO","OK"))</f>
        <v/>
      </c>
      <c r="M84" s="10">
</c>
      <c r="N84" s="10" cm="1" t="str">
        <f t="array" ref="N84">IF(OR(C84="",M84="",M84=0),"",M84)</f>
        <v/>
      </c>
      <c r="O84" s="10">
</c>
      <c r="P84" s="10" cm="1" t="str">
        <f t="array" ref="P84">IF(C84="","",IF(OR(O84="",O84=0),"-",O84))</f>
        <v/>
      </c>
      <c r="Q84" s="11">
</c>
      <c r="R84" s="4" cm="1" t="str">
        <f t="array" ref="R84">IF(C84="","",ROUND(Q84/1000000,3)&amp;" M€")</f>
        <v/>
      </c>
      <c r="S84" s="12">
</c>
      <c r="T84" s="4" cm="1" t="str">
        <f t="array" ref="T84">IF(C84="","",SUBSTITUTE(S84,"","")&amp;"%")</f>
        <v/>
      </c>
      <c r="U84" s="4" cm="1" t="str">
        <f t="array" ref="U84">IF(($N84="")*($P84=""),"",IF(($N84&lt;&gt;"")*($N84&gt;TODAY()-9)*($N84&lt;TODAY()+1)*($P84&lt;&gt;"")*($P84&gt;=TODAY())*($P84&lt;=TODAY()+13),"Semaine passée &amp; à venir",IF(($N84&lt;&gt;"")*($N84&gt;TODAY()-9)*($N84&lt;TODAY()+1),"Semaine passée",IF(($P84&lt;&gt;"")*($P84&gt;=TODAY())*($P84&lt;=TODAY()+13),"À venir","Autre"))))</f>
        <v/>
      </c>
      <c r="V84" cm="1" t="n">
        <f t="array" ref="V84">IF(C84&lt;&gt;"",1,0)</f>
        <v>0</v>
      </c>
    </row>
    <row r="85" ht="78.75" customHeight="1">
      <c r="A85" s="4">
</c>
      <c r="B85" s="4">
</c>
      <c r="C85" s="8">
</c>
      <c r="D85" s="8">
</c>
      <c r="E85" s="4">
</c>
      <c r="F85">
</c>
      <c r="G85" s="9" cm="1" t="str">
        <f t="array" ref="G85">IF(F85="","",SUBSTITUTE(SUBSTITUTE(SUBSTITUTE(SUBSTITUTE(F85,"&lt;li&gt;",CHAR(10)),"&lt;/li&gt;",""),"&lt;br&gt;",CHAR(10)),"&lt;strong&gt;",""))</f>
        <v/>
      </c>
      <c r="H85" s="9" cm="1" t="str">
        <f t="array" ref="H85">IF(G85="","",SUBSTITUTE(SUBSTITUTE(SUBSTITUTE(SUBSTITUTE(SUBSTITUTE(G85,"&lt;p&gt;",""),"&lt;/p&gt;",""),"&lt;ul&gt;",""),"&lt;/ul&gt;",""),"&lt;/strong&gt;",""))</f>
        <v/>
      </c>
      <c r="I85" s="9" cm="1" t="str">
        <f t="array" ref="I85">IF(C85="","",IF(OR(H85="",H85=0,H85=FALSE),"-",H85))</f>
        <v/>
      </c>
      <c r="J85">
</c>
      <c r="K85" s="4">
</c>
      <c r="L85" s="4" cm="1" t="str">
        <f t="array" ref="L85">IF(C85="","",IF(K85="Mort / Plus rien à faire","KO","OK"))</f>
        <v/>
      </c>
      <c r="M85" s="10">
</c>
      <c r="N85" s="10" cm="1" t="str">
        <f t="array" ref="N85">IF(OR(C85="",M85="",M85=0),"",M85)</f>
        <v/>
      </c>
      <c r="O85" s="10">
</c>
      <c r="P85" s="10" cm="1" t="str">
        <f t="array" ref="P85">IF(C85="","",IF(OR(O85="",O85=0),"-",O85))</f>
        <v/>
      </c>
      <c r="Q85" s="11">
</c>
      <c r="R85" s="4" cm="1" t="str">
        <f t="array" ref="R85">IF(C85="","",ROUND(Q85/1000000,3)&amp;" M€")</f>
        <v/>
      </c>
      <c r="S85" s="12">
</c>
      <c r="T85" s="4" cm="1" t="str">
        <f t="array" ref="T85">IF(C85="","",SUBSTITUTE(S85,"","")&amp;"%")</f>
        <v/>
      </c>
      <c r="U85" s="4" cm="1" t="str">
        <f t="array" ref="U85">IF(($N85="")*($P85=""),"",IF(($N85&lt;&gt;"")*($N85&gt;TODAY()-9)*($N85&lt;TODAY()+1)*($P85&lt;&gt;"")*($P85&gt;=TODAY())*($P85&lt;=TODAY()+13),"Semaine passée &amp; à venir",IF(($N85&lt;&gt;"")*($N85&gt;TODAY()-9)*($N85&lt;TODAY()+1),"Semaine passée",IF(($P85&lt;&gt;"")*($P85&gt;=TODAY())*($P85&lt;=TODAY()+13),"À venir","Autre"))))</f>
        <v/>
      </c>
      <c r="V85" cm="1" t="n">
        <f t="array" ref="V85">IF(C85&lt;&gt;"",1,0)</f>
        <v>0</v>
      </c>
    </row>
    <row r="86" ht="78.75" customHeight="1">
      <c r="A86" s="4">
</c>
      <c r="B86" s="4">
</c>
      <c r="C86" s="8">
</c>
      <c r="D86" s="8">
</c>
      <c r="E86" s="4">
</c>
      <c r="F86">
</c>
      <c r="G86" s="9" cm="1" t="str">
        <f t="array" ref="G86">IF(F86="","",SUBSTITUTE(SUBSTITUTE(SUBSTITUTE(SUBSTITUTE(F86,"&lt;li&gt;",CHAR(10)),"&lt;/li&gt;",""),"&lt;br&gt;",CHAR(10)),"&lt;strong&gt;",""))</f>
        <v/>
      </c>
      <c r="H86" s="9" cm="1" t="str">
        <f t="array" ref="H86">IF(G86="","",SUBSTITUTE(SUBSTITUTE(SUBSTITUTE(SUBSTITUTE(SUBSTITUTE(G86,"&lt;p&gt;",""),"&lt;/p&gt;",""),"&lt;ul&gt;",""),"&lt;/ul&gt;",""),"&lt;/strong&gt;",""))</f>
        <v/>
      </c>
      <c r="I86" s="9" cm="1" t="str">
        <f t="array" ref="I86">IF(C86="","",IF(OR(H86="",H86=0,H86=FALSE),"-",H86))</f>
        <v/>
      </c>
      <c r="J86">
</c>
      <c r="K86" s="4">
</c>
      <c r="L86" s="4" cm="1" t="str">
        <f t="array" ref="L86">IF(C86="","",IF(K86="Mort / Plus rien à faire","KO","OK"))</f>
        <v/>
      </c>
      <c r="M86" s="10">
</c>
      <c r="N86" s="10" cm="1" t="str">
        <f t="array" ref="N86">IF(OR(C86="",M86="",M86=0),"",M86)</f>
        <v/>
      </c>
      <c r="O86" s="10">
</c>
      <c r="P86" s="10" cm="1" t="str">
        <f t="array" ref="P86">IF(C86="","",IF(OR(O86="",O86=0),"-",O86))</f>
        <v/>
      </c>
      <c r="Q86" s="11">
</c>
      <c r="R86" s="4" cm="1" t="str">
        <f t="array" ref="R86">IF(C86="","",ROUND(Q86/1000000,3)&amp;" M€")</f>
        <v/>
      </c>
      <c r="S86" s="12">
</c>
      <c r="T86" s="4" cm="1" t="str">
        <f t="array" ref="T86">IF(C86="","",SUBSTITUTE(S86,"","")&amp;"%")</f>
        <v/>
      </c>
      <c r="U86" s="4" cm="1" t="str">
        <f t="array" ref="U86">IF(($N86="")*($P86=""),"",IF(($N86&lt;&gt;"")*($N86&gt;TODAY()-9)*($N86&lt;TODAY()+1)*($P86&lt;&gt;"")*($P86&gt;=TODAY())*($P86&lt;=TODAY()+13),"Semaine passée &amp; à venir",IF(($N86&lt;&gt;"")*($N86&gt;TODAY()-9)*($N86&lt;TODAY()+1),"Semaine passée",IF(($P86&lt;&gt;"")*($P86&gt;=TODAY())*($P86&lt;=TODAY()+13),"À venir","Autre"))))</f>
        <v/>
      </c>
      <c r="V86" cm="1" t="n">
        <f t="array" ref="V86">IF(C86&lt;&gt;"",1,0)</f>
        <v>0</v>
      </c>
    </row>
    <row r="87" ht="78.75" customHeight="1">
      <c r="A87" s="4">
</c>
      <c r="B87" s="4">
</c>
      <c r="C87" s="8">
</c>
      <c r="D87" s="8">
</c>
      <c r="E87" s="4">
</c>
      <c r="F87">
</c>
      <c r="G87" s="9" cm="1" t="str">
        <f t="array" ref="G87">IF(F87="","",SUBSTITUTE(SUBSTITUTE(SUBSTITUTE(SUBSTITUTE(F87,"&lt;li&gt;",CHAR(10)),"&lt;/li&gt;",""),"&lt;br&gt;",CHAR(10)),"&lt;strong&gt;",""))</f>
        <v/>
      </c>
      <c r="H87" s="9" cm="1" t="str">
        <f t="array" ref="H87">IF(G87="","",SUBSTITUTE(SUBSTITUTE(SUBSTITUTE(SUBSTITUTE(SUBSTITUTE(G87,"&lt;p&gt;",""),"&lt;/p&gt;",""),"&lt;ul&gt;",""),"&lt;/ul&gt;",""),"&lt;/strong&gt;",""))</f>
        <v/>
      </c>
      <c r="I87" s="9" cm="1" t="str">
        <f t="array" ref="I87">IF(C87="","",IF(OR(H87="",H87=0,H87=FALSE),"-",H87))</f>
        <v/>
      </c>
      <c r="J87">
</c>
      <c r="K87" s="4">
</c>
      <c r="L87" s="4" cm="1" t="str">
        <f t="array" ref="L87">IF(C87="","",IF(K87="Mort / Plus rien à faire","KO","OK"))</f>
        <v/>
      </c>
      <c r="M87" s="10">
</c>
      <c r="N87" s="10" cm="1" t="str">
        <f t="array" ref="N87">IF(OR(C87="",M87="",M87=0),"",M87)</f>
        <v/>
      </c>
      <c r="O87" s="10">
</c>
      <c r="P87" s="10" cm="1" t="str">
        <f t="array" ref="P87">IF(C87="","",IF(OR(O87="",O87=0),"-",O87))</f>
        <v/>
      </c>
      <c r="Q87" s="11">
</c>
      <c r="R87" s="4" cm="1" t="str">
        <f t="array" ref="R87">IF(C87="","",ROUND(Q87/1000000,3)&amp;" M€")</f>
        <v/>
      </c>
      <c r="S87" s="12">
</c>
      <c r="T87" s="4" cm="1" t="str">
        <f t="array" ref="T87">IF(C87="","",SUBSTITUTE(S87,"","")&amp;"%")</f>
        <v/>
      </c>
      <c r="U87" s="4" cm="1" t="str">
        <f t="array" ref="U87">IF(($N87="")*($P87=""),"",IF(($N87&lt;&gt;"")*($N87&gt;TODAY()-9)*($N87&lt;TODAY()+1)*($P87&lt;&gt;"")*($P87&gt;=TODAY())*($P87&lt;=TODAY()+13),"Semaine passée &amp; à venir",IF(($N87&lt;&gt;"")*($N87&gt;TODAY()-9)*($N87&lt;TODAY()+1),"Semaine passée",IF(($P87&lt;&gt;"")*($P87&gt;=TODAY())*($P87&lt;=TODAY()+13),"À venir","Autre"))))</f>
        <v/>
      </c>
      <c r="V87" cm="1" t="n">
        <f t="array" ref="V87">IF(C87&lt;&gt;"",1,0)</f>
        <v>0</v>
      </c>
    </row>
    <row r="88" ht="78.75" customHeight="1">
      <c r="A88" s="4">
</c>
      <c r="B88" s="4">
</c>
      <c r="C88" s="8">
</c>
      <c r="D88" s="8">
</c>
      <c r="E88" s="4">
</c>
      <c r="F88">
</c>
      <c r="G88" s="9" cm="1" t="str">
        <f t="array" ref="G88">IF(F88="","",SUBSTITUTE(SUBSTITUTE(SUBSTITUTE(SUBSTITUTE(F88,"&lt;li&gt;",CHAR(10)),"&lt;/li&gt;",""),"&lt;br&gt;",CHAR(10)),"&lt;strong&gt;",""))</f>
        <v/>
      </c>
      <c r="H88" s="9" cm="1" t="str">
        <f t="array" ref="H88">IF(G88="","",SUBSTITUTE(SUBSTITUTE(SUBSTITUTE(SUBSTITUTE(SUBSTITUTE(G88,"&lt;p&gt;",""),"&lt;/p&gt;",""),"&lt;ul&gt;",""),"&lt;/ul&gt;",""),"&lt;/strong&gt;",""))</f>
        <v/>
      </c>
      <c r="I88" s="9" cm="1" t="str">
        <f t="array" ref="I88">IF(C88="","",IF(OR(H88="",H88=0,H88=FALSE),"-",H88))</f>
        <v/>
      </c>
      <c r="J88">
</c>
      <c r="K88" s="4">
</c>
      <c r="L88" s="4" cm="1" t="str">
        <f t="array" ref="L88">IF(C88="","",IF(K88="Mort / Plus rien à faire","KO","OK"))</f>
        <v/>
      </c>
      <c r="M88" s="10">
</c>
      <c r="N88" s="10" cm="1" t="str">
        <f t="array" ref="N88">IF(OR(C88="",M88="",M88=0),"",M88)</f>
        <v/>
      </c>
      <c r="O88" s="10">
</c>
      <c r="P88" s="10" cm="1" t="str">
        <f t="array" ref="P88">IF(C88="","",IF(OR(O88="",O88=0),"-",O88))</f>
        <v/>
      </c>
      <c r="Q88" s="11">
</c>
      <c r="R88" s="4" cm="1" t="str">
        <f t="array" ref="R88">IF(C88="","",ROUND(Q88/1000000,3)&amp;" M€")</f>
        <v/>
      </c>
      <c r="S88" s="12">
</c>
      <c r="T88" s="4" cm="1" t="str">
        <f t="array" ref="T88">IF(C88="","",SUBSTITUTE(S88,"","")&amp;"%")</f>
        <v/>
      </c>
      <c r="U88" s="4" cm="1" t="str">
        <f t="array" ref="U88">IF(($N88="")*($P88=""),"",IF(($N88&lt;&gt;"")*($N88&gt;TODAY()-9)*($N88&lt;TODAY()+1)*($P88&lt;&gt;"")*($P88&gt;=TODAY())*($P88&lt;=TODAY()+13),"Semaine passée &amp; à venir",IF(($N88&lt;&gt;"")*($N88&gt;TODAY()-9)*($N88&lt;TODAY()+1),"Semaine passée",IF(($P88&lt;&gt;"")*($P88&gt;=TODAY())*($P88&lt;=TODAY()+13),"À venir","Autre"))))</f>
        <v/>
      </c>
      <c r="V88" cm="1" t="n">
        <f t="array" ref="V88">IF(C88&lt;&gt;"",1,0)</f>
        <v>0</v>
      </c>
    </row>
    <row r="89" ht="78.75" customHeight="1">
      <c r="A89" s="4">
</c>
      <c r="B89" s="4">
</c>
      <c r="C89" s="8">
</c>
      <c r="D89" s="8">
</c>
      <c r="E89" s="4">
</c>
      <c r="F89">
</c>
      <c r="G89" s="9" cm="1" t="str">
        <f t="array" ref="G89">IF(F89="","",SUBSTITUTE(SUBSTITUTE(SUBSTITUTE(SUBSTITUTE(F89,"&lt;li&gt;",CHAR(10)),"&lt;/li&gt;",""),"&lt;br&gt;",CHAR(10)),"&lt;strong&gt;",""))</f>
        <v/>
      </c>
      <c r="H89" s="9" cm="1" t="str">
        <f t="array" ref="H89">IF(G89="","",SUBSTITUTE(SUBSTITUTE(SUBSTITUTE(SUBSTITUTE(SUBSTITUTE(G89,"&lt;p&gt;",""),"&lt;/p&gt;",""),"&lt;ul&gt;",""),"&lt;/ul&gt;",""),"&lt;/strong&gt;",""))</f>
        <v/>
      </c>
      <c r="I89" s="9" cm="1" t="str">
        <f t="array" ref="I89">IF(C89="","",IF(OR(H89="",H89=0,H89=FALSE),"-",H89))</f>
        <v/>
      </c>
      <c r="J89">
</c>
      <c r="K89" s="4">
</c>
      <c r="L89" s="4" cm="1" t="str">
        <f t="array" ref="L89">IF(C89="","",IF(K89="Mort / Plus rien à faire","KO","OK"))</f>
        <v/>
      </c>
      <c r="M89" s="10">
</c>
      <c r="N89" s="10" cm="1" t="str">
        <f t="array" ref="N89">IF(OR(C89="",M89="",M89=0),"",M89)</f>
        <v/>
      </c>
      <c r="O89" s="10">
</c>
      <c r="P89" s="10" cm="1" t="str">
        <f t="array" ref="P89">IF(C89="","",IF(OR(O89="",O89=0),"-",O89))</f>
        <v/>
      </c>
      <c r="Q89" s="11">
</c>
      <c r="R89" s="4" cm="1" t="str">
        <f t="array" ref="R89">IF(C89="","",ROUND(Q89/1000000,3)&amp;" M€")</f>
        <v/>
      </c>
      <c r="S89" s="12">
</c>
      <c r="T89" s="4" cm="1" t="str">
        <f t="array" ref="T89">IF(C89="","",SUBSTITUTE(S89,"","")&amp;"%")</f>
        <v/>
      </c>
      <c r="U89" s="4" cm="1" t="str">
        <f t="array" ref="U89">IF(($N89="")*($P89=""),"",IF(($N89&lt;&gt;"")*($N89&gt;TODAY()-9)*($N89&lt;TODAY()+1)*($P89&lt;&gt;"")*($P89&gt;=TODAY())*($P89&lt;=TODAY()+13),"Semaine passée &amp; à venir",IF(($N89&lt;&gt;"")*($N89&gt;TODAY()-9)*($N89&lt;TODAY()+1),"Semaine passée",IF(($P89&lt;&gt;"")*($P89&gt;=TODAY())*($P89&lt;=TODAY()+13),"À venir","Autre"))))</f>
        <v/>
      </c>
      <c r="V89" cm="1" t="n">
        <f t="array" ref="V89">IF(C89&lt;&gt;"",1,0)</f>
        <v>0</v>
      </c>
    </row>
    <row r="90" ht="78.75" customHeight="1">
      <c r="A90" s="4">
</c>
      <c r="B90" s="4">
</c>
      <c r="C90" s="8">
</c>
      <c r="D90" s="8">
</c>
      <c r="E90" s="4">
</c>
      <c r="F90">
</c>
      <c r="G90" s="9" cm="1" t="str">
        <f t="array" ref="G90">IF(F90="","",SUBSTITUTE(SUBSTITUTE(SUBSTITUTE(SUBSTITUTE(F90,"&lt;li&gt;",CHAR(10)),"&lt;/li&gt;",""),"&lt;br&gt;",CHAR(10)),"&lt;strong&gt;",""))</f>
        <v/>
      </c>
      <c r="H90" s="9" cm="1" t="str">
        <f t="array" ref="H90">IF(G90="","",SUBSTITUTE(SUBSTITUTE(SUBSTITUTE(SUBSTITUTE(SUBSTITUTE(G90,"&lt;p&gt;",""),"&lt;/p&gt;",""),"&lt;ul&gt;",""),"&lt;/ul&gt;",""),"&lt;/strong&gt;",""))</f>
        <v/>
      </c>
      <c r="I90" s="9" cm="1" t="str">
        <f t="array" ref="I90">IF(C90="","",IF(OR(H90="",H90=0,H90=FALSE),"-",H90))</f>
        <v/>
      </c>
      <c r="J90">
</c>
      <c r="K90" s="4">
</c>
      <c r="L90" s="4" cm="1" t="str">
        <f t="array" ref="L90">IF(C90="","",IF(K90="Mort / Plus rien à faire","KO","OK"))</f>
        <v/>
      </c>
      <c r="M90" s="10">
</c>
      <c r="N90" s="10" cm="1" t="str">
        <f t="array" ref="N90">IF(OR(C90="",M90="",M90=0),"",M90)</f>
        <v/>
      </c>
      <c r="O90" s="10">
</c>
      <c r="P90" s="10" cm="1" t="str">
        <f t="array" ref="P90">IF(C90="","",IF(OR(O90="",O90=0),"-",O90))</f>
        <v/>
      </c>
      <c r="Q90" s="11">
</c>
      <c r="R90" s="4" cm="1" t="str">
        <f t="array" ref="R90">IF(C90="","",ROUND(Q90/1000000,3)&amp;" M€")</f>
        <v/>
      </c>
      <c r="S90" s="12">
</c>
      <c r="T90" s="4" cm="1" t="str">
        <f t="array" ref="T90">IF(C90="","",SUBSTITUTE(S90,"","")&amp;"%")</f>
        <v/>
      </c>
      <c r="U90" s="4" cm="1" t="str">
        <f t="array" ref="U90">IF(($N90="")*($P90=""),"",IF(($N90&lt;&gt;"")*($N90&gt;TODAY()-9)*($N90&lt;TODAY()+1)*($P90&lt;&gt;"")*($P90&gt;=TODAY())*($P90&lt;=TODAY()+13),"Semaine passée &amp; à venir",IF(($N90&lt;&gt;"")*($N90&gt;TODAY()-9)*($N90&lt;TODAY()+1),"Semaine passée",IF(($P90&lt;&gt;"")*($P90&gt;=TODAY())*($P90&lt;=TODAY()+13),"À venir","Autre"))))</f>
        <v/>
      </c>
      <c r="V90" cm="1" t="n">
        <f t="array" ref="V90">IF(C90&lt;&gt;"",1,0)</f>
        <v>0</v>
      </c>
    </row>
    <row r="91" ht="78.75" customHeight="1">
      <c r="A91" s="4">
</c>
      <c r="B91" s="4">
</c>
      <c r="C91" s="8">
</c>
      <c r="D91" s="8">
</c>
      <c r="E91" s="4">
</c>
      <c r="F91">
</c>
      <c r="G91" s="9" cm="1" t="str">
        <f t="array" ref="G91">IF(F91="","",SUBSTITUTE(SUBSTITUTE(SUBSTITUTE(SUBSTITUTE(F91,"&lt;li&gt;",CHAR(10)),"&lt;/li&gt;",""),"&lt;br&gt;",CHAR(10)),"&lt;strong&gt;",""))</f>
        <v/>
      </c>
      <c r="H91" s="9" cm="1" t="str">
        <f t="array" ref="H91">IF(G91="","",SUBSTITUTE(SUBSTITUTE(SUBSTITUTE(SUBSTITUTE(SUBSTITUTE(G91,"&lt;p&gt;",""),"&lt;/p&gt;",""),"&lt;ul&gt;",""),"&lt;/ul&gt;",""),"&lt;/strong&gt;",""))</f>
        <v/>
      </c>
      <c r="I91" s="9" cm="1" t="str">
        <f t="array" ref="I91">IF(C91="","",IF(OR(H91="",H91=0,H91=FALSE),"-",H91))</f>
        <v/>
      </c>
      <c r="J91">
</c>
      <c r="K91" s="4">
</c>
      <c r="L91" s="4" cm="1" t="str">
        <f t="array" ref="L91">IF(C91="","",IF(K91="Mort / Plus rien à faire","KO","OK"))</f>
        <v/>
      </c>
      <c r="M91" s="10">
</c>
      <c r="N91" s="10" cm="1" t="str">
        <f t="array" ref="N91">IF(OR(C91="",M91="",M91=0),"",M91)</f>
        <v/>
      </c>
      <c r="O91" s="10">
</c>
      <c r="P91" s="10" cm="1" t="str">
        <f t="array" ref="P91">IF(C91="","",IF(OR(O91="",O91=0),"-",O91))</f>
        <v/>
      </c>
      <c r="Q91" s="11">
</c>
      <c r="R91" s="4" cm="1" t="str">
        <f t="array" ref="R91">IF(C91="","",ROUND(Q91/1000000,3)&amp;" M€")</f>
        <v/>
      </c>
      <c r="S91" s="12">
</c>
      <c r="T91" s="4" cm="1" t="str">
        <f t="array" ref="T91">IF(C91="","",SUBSTITUTE(S91,"","")&amp;"%")</f>
        <v/>
      </c>
      <c r="U91" s="4" cm="1" t="str">
        <f t="array" ref="U91">IF(($N91="")*($P91=""),"",IF(($N91&lt;&gt;"")*($N91&gt;TODAY()-9)*($N91&lt;TODAY()+1)*($P91&lt;&gt;"")*($P91&gt;=TODAY())*($P91&lt;=TODAY()+13),"Semaine passée &amp; à venir",IF(($N91&lt;&gt;"")*($N91&gt;TODAY()-9)*($N91&lt;TODAY()+1),"Semaine passée",IF(($P91&lt;&gt;"")*($P91&gt;=TODAY())*($P91&lt;=TODAY()+13),"À venir","Autre"))))</f>
        <v/>
      </c>
      <c r="V91" cm="1" t="n">
        <f t="array" ref="V91">IF(C91&lt;&gt;"",1,0)</f>
        <v>0</v>
      </c>
    </row>
    <row r="92" ht="78.75" customHeight="1">
      <c r="A92" s="4">
</c>
      <c r="B92" s="4">
</c>
      <c r="C92" s="8">
</c>
      <c r="D92" s="8">
</c>
      <c r="E92" s="4">
</c>
      <c r="F92">
</c>
      <c r="G92" s="9" cm="1" t="str">
        <f t="array" ref="G92">IF(F92="","",SUBSTITUTE(SUBSTITUTE(SUBSTITUTE(SUBSTITUTE(F92,"&lt;li&gt;",CHAR(10)),"&lt;/li&gt;",""),"&lt;br&gt;",CHAR(10)),"&lt;strong&gt;",""))</f>
        <v/>
      </c>
      <c r="H92" s="9" cm="1" t="str">
        <f t="array" ref="H92">IF(G92="","",SUBSTITUTE(SUBSTITUTE(SUBSTITUTE(SUBSTITUTE(SUBSTITUTE(G92,"&lt;p&gt;",""),"&lt;/p&gt;",""),"&lt;ul&gt;",""),"&lt;/ul&gt;",""),"&lt;/strong&gt;",""))</f>
        <v/>
      </c>
      <c r="I92" s="9" cm="1" t="str">
        <f t="array" ref="I92">IF(C92="","",IF(OR(H92="",H92=0,H92=FALSE),"-",H92))</f>
        <v/>
      </c>
      <c r="J92">
</c>
      <c r="K92" s="4">
</c>
      <c r="L92" s="4" cm="1" t="str">
        <f t="array" ref="L92">IF(C92="","",IF(K92="Mort / Plus rien à faire","KO","OK"))</f>
        <v/>
      </c>
      <c r="M92" s="10">
</c>
      <c r="N92" s="10" cm="1" t="str">
        <f t="array" ref="N92">IF(OR(C92="",M92="",M92=0),"",M92)</f>
        <v/>
      </c>
      <c r="O92" s="10">
</c>
      <c r="P92" s="10" cm="1" t="str">
        <f t="array" ref="P92">IF(C92="","",IF(OR(O92="",O92=0),"-",O92))</f>
        <v/>
      </c>
      <c r="Q92" s="11">
</c>
      <c r="R92" s="4" cm="1" t="str">
        <f t="array" ref="R92">IF(C92="","",ROUND(Q92/1000000,3)&amp;" M€")</f>
        <v/>
      </c>
      <c r="S92" s="12">
</c>
      <c r="T92" s="4" cm="1" t="str">
        <f t="array" ref="T92">IF(C92="","",SUBSTITUTE(S92,"","")&amp;"%")</f>
        <v/>
      </c>
      <c r="U92" s="4" cm="1" t="str">
        <f t="array" ref="U92">IF(($N92="")*($P92=""),"",IF(($N92&lt;&gt;"")*($N92&gt;TODAY()-9)*($N92&lt;TODAY()+1)*($P92&lt;&gt;"")*($P92&gt;=TODAY())*($P92&lt;=TODAY()+13),"Semaine passée &amp; à venir",IF(($N92&lt;&gt;"")*($N92&gt;TODAY()-9)*($N92&lt;TODAY()+1),"Semaine passée",IF(($P92&lt;&gt;"")*($P92&gt;=TODAY())*($P92&lt;=TODAY()+13),"À venir","Autre"))))</f>
        <v/>
      </c>
      <c r="V92" cm="1" t="n">
        <f t="array" ref="V92">IF(C92&lt;&gt;"",1,0)</f>
        <v>0</v>
      </c>
    </row>
    <row r="93" ht="78.75" customHeight="1">
      <c r="A93" s="4">
</c>
      <c r="B93" s="4">
</c>
      <c r="C93" s="8">
</c>
      <c r="D93" s="8">
</c>
      <c r="E93" s="4">
</c>
      <c r="F93">
</c>
      <c r="G93" s="9" cm="1" t="str">
        <f t="array" ref="G93">IF(F93="","",SUBSTITUTE(SUBSTITUTE(SUBSTITUTE(SUBSTITUTE(F93,"&lt;li&gt;",CHAR(10)),"&lt;/li&gt;",""),"&lt;br&gt;",CHAR(10)),"&lt;strong&gt;",""))</f>
        <v/>
      </c>
      <c r="H93" s="9" cm="1" t="str">
        <f t="array" ref="H93">IF(G93="","",SUBSTITUTE(SUBSTITUTE(SUBSTITUTE(SUBSTITUTE(SUBSTITUTE(G93,"&lt;p&gt;",""),"&lt;/p&gt;",""),"&lt;ul&gt;",""),"&lt;/ul&gt;",""),"&lt;/strong&gt;",""))</f>
        <v/>
      </c>
      <c r="I93" s="9" cm="1" t="str">
        <f t="array" ref="I93">IF(C93="","",IF(OR(H93="",H93=0,H93=FALSE),"-",H93))</f>
        <v/>
      </c>
      <c r="J93">
</c>
      <c r="K93" s="4">
</c>
      <c r="L93" s="4" cm="1" t="str">
        <f t="array" ref="L93">IF(C93="","",IF(K93="Mort / Plus rien à faire","KO","OK"))</f>
        <v/>
      </c>
      <c r="M93" s="10">
</c>
      <c r="N93" s="10" cm="1" t="str">
        <f t="array" ref="N93">IF(OR(C93="",M93="",M93=0),"",M93)</f>
        <v/>
      </c>
      <c r="O93" s="10">
</c>
      <c r="P93" s="10" cm="1" t="str">
        <f t="array" ref="P93">IF(C93="","",IF(OR(O93="",O93=0),"-",O93))</f>
        <v/>
      </c>
      <c r="Q93" s="11">
</c>
      <c r="R93" s="4" cm="1" t="str">
        <f t="array" ref="R93">IF(C93="","",ROUND(Q93/1000000,3)&amp;" M€")</f>
        <v/>
      </c>
      <c r="S93" s="12">
</c>
      <c r="T93" s="4" cm="1" t="str">
        <f t="array" ref="T93">IF(C93="","",SUBSTITUTE(S93,"","")&amp;"%")</f>
        <v/>
      </c>
      <c r="U93" s="4" cm="1" t="str">
        <f t="array" ref="U93">IF(($N93="")*($P93=""),"",IF(($N93&lt;&gt;"")*($N93&gt;TODAY()-9)*($N93&lt;TODAY()+1)*($P93&lt;&gt;"")*($P93&gt;=TODAY())*($P93&lt;=TODAY()+13),"Semaine passée &amp; à venir",IF(($N93&lt;&gt;"")*($N93&gt;TODAY()-9)*($N93&lt;TODAY()+1),"Semaine passée",IF(($P93&lt;&gt;"")*($P93&gt;=TODAY())*($P93&lt;=TODAY()+13),"À venir","Autre"))))</f>
        <v/>
      </c>
      <c r="V93" cm="1" t="n">
        <f t="array" ref="V93">IF(C93&lt;&gt;"",1,0)</f>
        <v>0</v>
      </c>
    </row>
    <row r="94" ht="78.75" customHeight="1">
      <c r="A94" s="4">
</c>
      <c r="B94" s="4">
</c>
      <c r="C94" s="8">
</c>
      <c r="D94" s="8">
</c>
      <c r="E94" s="4">
</c>
      <c r="F94">
</c>
      <c r="G94" s="9" cm="1" t="str">
        <f t="array" ref="G94">IF(F94="","",SUBSTITUTE(SUBSTITUTE(SUBSTITUTE(SUBSTITUTE(F94,"&lt;li&gt;",CHAR(10)),"&lt;/li&gt;",""),"&lt;br&gt;",CHAR(10)),"&lt;strong&gt;",""))</f>
        <v/>
      </c>
      <c r="H94" s="9" cm="1" t="str">
        <f t="array" ref="H94">IF(G94="","",SUBSTITUTE(SUBSTITUTE(SUBSTITUTE(SUBSTITUTE(SUBSTITUTE(G94,"&lt;p&gt;",""),"&lt;/p&gt;",""),"&lt;ul&gt;",""),"&lt;/ul&gt;",""),"&lt;/strong&gt;",""))</f>
        <v/>
      </c>
      <c r="I94" s="9" cm="1" t="str">
        <f t="array" ref="I94">IF(C94="","",IF(OR(H94="",H94=0,H94=FALSE),"-",H94))</f>
        <v/>
      </c>
      <c r="J94">
</c>
      <c r="K94" s="4">
</c>
      <c r="L94" s="4" cm="1" t="str">
        <f t="array" ref="L94">IF(C94="","",IF(K94="Mort / Plus rien à faire","KO","OK"))</f>
        <v/>
      </c>
      <c r="M94" s="10">
</c>
      <c r="N94" s="10" cm="1" t="str">
        <f t="array" ref="N94">IF(OR(C94="",M94="",M94=0),"",M94)</f>
        <v/>
      </c>
      <c r="O94" s="10">
</c>
      <c r="P94" s="10" cm="1" t="str">
        <f t="array" ref="P94">IF(C94="","",IF(OR(O94="",O94=0),"-",O94))</f>
        <v/>
      </c>
      <c r="Q94" s="11">
</c>
      <c r="R94" s="4" cm="1" t="str">
        <f t="array" ref="R94">IF(C94="","",ROUND(Q94/1000000,3)&amp;" M€")</f>
        <v/>
      </c>
      <c r="S94" s="12">
</c>
      <c r="T94" s="4" cm="1" t="str">
        <f t="array" ref="T94">IF(C94="","",SUBSTITUTE(S94,"","")&amp;"%")</f>
        <v/>
      </c>
      <c r="U94" s="4" cm="1" t="str">
        <f t="array" ref="U94">IF(($N94="")*($P94=""),"",IF(($N94&lt;&gt;"")*($N94&gt;TODAY()-9)*($N94&lt;TODAY()+1)*($P94&lt;&gt;"")*($P94&gt;=TODAY())*($P94&lt;=TODAY()+13),"Semaine passée &amp; à venir",IF(($N94&lt;&gt;"")*($N94&gt;TODAY()-9)*($N94&lt;TODAY()+1),"Semaine passée",IF(($P94&lt;&gt;"")*($P94&gt;=TODAY())*($P94&lt;=TODAY()+13),"À venir","Autre"))))</f>
        <v/>
      </c>
      <c r="V94" cm="1" t="n">
        <f t="array" ref="V94">IF(C94&lt;&gt;"",1,0)</f>
        <v>0</v>
      </c>
    </row>
    <row r="95" ht="78.75" customHeight="1">
      <c r="A95" s="4">
</c>
      <c r="B95" s="4">
</c>
      <c r="C95" s="8">
</c>
      <c r="D95" s="8">
</c>
      <c r="E95" s="4">
</c>
      <c r="F95">
</c>
      <c r="G95" s="9" cm="1" t="str">
        <f t="array" ref="G95">IF(F95="","",SUBSTITUTE(SUBSTITUTE(SUBSTITUTE(SUBSTITUTE(F95,"&lt;li&gt;",CHAR(10)),"&lt;/li&gt;",""),"&lt;br&gt;",CHAR(10)),"&lt;strong&gt;",""))</f>
        <v/>
      </c>
      <c r="H95" s="9" cm="1" t="str">
        <f t="array" ref="H95">IF(G95="","",SUBSTITUTE(SUBSTITUTE(SUBSTITUTE(SUBSTITUTE(SUBSTITUTE(G95,"&lt;p&gt;",""),"&lt;/p&gt;",""),"&lt;ul&gt;",""),"&lt;/ul&gt;",""),"&lt;/strong&gt;",""))</f>
        <v/>
      </c>
      <c r="I95" s="9" cm="1" t="str">
        <f t="array" ref="I95">IF(C95="","",IF(OR(H95="",H95=0,H95=FALSE),"-",H95))</f>
        <v/>
      </c>
      <c r="J95">
</c>
      <c r="K95" s="4">
</c>
      <c r="L95" s="4" cm="1" t="str">
        <f t="array" ref="L95">IF(C95="","",IF(K95="Mort / Plus rien à faire","KO","OK"))</f>
        <v/>
      </c>
      <c r="M95" s="10">
</c>
      <c r="N95" s="10" cm="1" t="str">
        <f t="array" ref="N95">IF(OR(C95="",M95="",M95=0),"",M95)</f>
        <v/>
      </c>
      <c r="O95" s="10">
</c>
      <c r="P95" s="10" cm="1" t="str">
        <f t="array" ref="P95">IF(C95="","",IF(OR(O95="",O95=0),"-",O95))</f>
        <v/>
      </c>
      <c r="Q95" s="11">
</c>
      <c r="R95" s="4" cm="1" t="str">
        <f t="array" ref="R95">IF(C95="","",ROUND(Q95/1000000,3)&amp;" M€")</f>
        <v/>
      </c>
      <c r="S95" s="12">
</c>
      <c r="T95" s="4" cm="1" t="str">
        <f t="array" ref="T95">IF(C95="","",SUBSTITUTE(S95,"","")&amp;"%")</f>
        <v/>
      </c>
      <c r="U95" s="4" cm="1" t="str">
        <f t="array" ref="U95">IF(($N95="")*($P95=""),"",IF(($N95&lt;&gt;"")*($N95&gt;TODAY()-9)*($N95&lt;TODAY()+1)*($P95&lt;&gt;"")*($P95&gt;=TODAY())*($P95&lt;=TODAY()+13),"Semaine passée &amp; à venir",IF(($N95&lt;&gt;"")*($N95&gt;TODAY()-9)*($N95&lt;TODAY()+1),"Semaine passée",IF(($P95&lt;&gt;"")*($P95&gt;=TODAY())*($P95&lt;=TODAY()+13),"À venir","Autre"))))</f>
        <v/>
      </c>
      <c r="V95" cm="1" t="n">
        <f t="array" ref="V95">IF(C95&lt;&gt;"",1,0)</f>
        <v>0</v>
      </c>
    </row>
    <row r="96" ht="78.75" customHeight="1">
      <c r="A96" s="4">
</c>
      <c r="B96" s="4">
</c>
      <c r="C96" s="8">
</c>
      <c r="D96" s="8">
</c>
      <c r="E96" s="4">
</c>
      <c r="F96">
</c>
      <c r="G96" s="9" cm="1" t="str">
        <f t="array" ref="G96">IF(F96="","",SUBSTITUTE(SUBSTITUTE(SUBSTITUTE(SUBSTITUTE(F96,"&lt;li&gt;",CHAR(10)),"&lt;/li&gt;",""),"&lt;br&gt;",CHAR(10)),"&lt;strong&gt;",""))</f>
        <v/>
      </c>
      <c r="H96" s="9" cm="1" t="str">
        <f t="array" ref="H96">IF(G96="","",SUBSTITUTE(SUBSTITUTE(SUBSTITUTE(SUBSTITUTE(SUBSTITUTE(G96,"&lt;p&gt;",""),"&lt;/p&gt;",""),"&lt;ul&gt;",""),"&lt;/ul&gt;",""),"&lt;/strong&gt;",""))</f>
        <v/>
      </c>
      <c r="I96" s="9" cm="1" t="str">
        <f t="array" ref="I96">IF(C96="","",IF(OR(H96="",H96=0,H96=FALSE),"-",H96))</f>
        <v/>
      </c>
      <c r="J96">
</c>
      <c r="K96" s="4">
</c>
      <c r="L96" s="4" cm="1" t="str">
        <f t="array" ref="L96">IF(C96="","",IF(K96="Mort / Plus rien à faire","KO","OK"))</f>
        <v/>
      </c>
      <c r="M96" s="10">
</c>
      <c r="N96" s="10" cm="1" t="str">
        <f t="array" ref="N96">IF(OR(C96="",M96="",M96=0),"",M96)</f>
        <v/>
      </c>
      <c r="O96" s="10">
</c>
      <c r="P96" s="10" cm="1" t="str">
        <f t="array" ref="P96">IF(C96="","",IF(OR(O96="",O96=0),"-",O96))</f>
        <v/>
      </c>
      <c r="Q96" s="11">
</c>
      <c r="R96" s="4" cm="1" t="str">
        <f t="array" ref="R96">IF(C96="","",ROUND(Q96/1000000,3)&amp;" M€")</f>
        <v/>
      </c>
      <c r="S96" s="12">
</c>
      <c r="T96" s="4" cm="1" t="str">
        <f t="array" ref="T96">IF(C96="","",SUBSTITUTE(S96,"","")&amp;"%")</f>
        <v/>
      </c>
      <c r="U96" s="4" cm="1" t="str">
        <f t="array" ref="U96">IF(($N96="")*($P96=""),"",IF(($N96&lt;&gt;"")*($N96&gt;TODAY()-9)*($N96&lt;TODAY()+1)*($P96&lt;&gt;"")*($P96&gt;=TODAY())*($P96&lt;=TODAY()+13),"Semaine passée &amp; à venir",IF(($N96&lt;&gt;"")*($N96&gt;TODAY()-9)*($N96&lt;TODAY()+1),"Semaine passée",IF(($P96&lt;&gt;"")*($P96&gt;=TODAY())*($P96&lt;=TODAY()+13),"À venir","Autre"))))</f>
        <v/>
      </c>
      <c r="V96" cm="1" t="n">
        <f t="array" ref="V96">IF(C96&lt;&gt;"",1,0)</f>
        <v>0</v>
      </c>
    </row>
    <row r="97" ht="78.75" customHeight="1">
      <c r="A97" s="4">
</c>
      <c r="B97" s="4">
</c>
      <c r="C97" s="8">
</c>
      <c r="D97" s="8">
</c>
      <c r="E97" s="4">
</c>
      <c r="F97">
</c>
      <c r="G97" s="9" cm="1" t="str">
        <f t="array" ref="G97">IF(F97="","",SUBSTITUTE(SUBSTITUTE(SUBSTITUTE(SUBSTITUTE(F97,"&lt;li&gt;",CHAR(10)),"&lt;/li&gt;",""),"&lt;br&gt;",CHAR(10)),"&lt;strong&gt;",""))</f>
        <v/>
      </c>
      <c r="H97" s="9" cm="1" t="str">
        <f t="array" ref="H97">IF(G97="","",SUBSTITUTE(SUBSTITUTE(SUBSTITUTE(SUBSTITUTE(SUBSTITUTE(G97,"&lt;p&gt;",""),"&lt;/p&gt;",""),"&lt;ul&gt;",""),"&lt;/ul&gt;",""),"&lt;/strong&gt;",""))</f>
        <v/>
      </c>
      <c r="I97" s="9" cm="1" t="str">
        <f t="array" ref="I97">IF(C97="","",IF(OR(H97="",H97=0,H97=FALSE),"-",H97))</f>
        <v/>
      </c>
      <c r="J97">
</c>
      <c r="K97" s="4">
</c>
      <c r="L97" s="4" cm="1" t="str">
        <f t="array" ref="L97">IF(C97="","",IF(K97="Mort / Plus rien à faire","KO","OK"))</f>
        <v/>
      </c>
      <c r="M97" s="10">
</c>
      <c r="N97" s="10" cm="1" t="str">
        <f t="array" ref="N97">IF(OR(C97="",M97="",M97=0),"",M97)</f>
        <v/>
      </c>
      <c r="O97" s="10">
</c>
      <c r="P97" s="10" cm="1" t="str">
        <f t="array" ref="P97">IF(C97="","",IF(OR(O97="",O97=0),"-",O97))</f>
        <v/>
      </c>
      <c r="Q97" s="11">
</c>
      <c r="R97" s="4" cm="1" t="str">
        <f t="array" ref="R97">IF(C97="","",ROUND(Q97/1000000,3)&amp;" M€")</f>
        <v/>
      </c>
      <c r="S97" s="12">
</c>
      <c r="T97" s="4" cm="1" t="str">
        <f t="array" ref="T97">IF(C97="","",SUBSTITUTE(S97,"","")&amp;"%")</f>
        <v/>
      </c>
      <c r="U97" s="4" cm="1" t="str">
        <f t="array" ref="U97">IF(($N97="")*($P97=""),"",IF(($N97&lt;&gt;"")*($N97&gt;TODAY()-9)*($N97&lt;TODAY()+1)*($P97&lt;&gt;"")*($P97&gt;=TODAY())*($P97&lt;=TODAY()+13),"Semaine passée &amp; à venir",IF(($N97&lt;&gt;"")*($N97&gt;TODAY()-9)*($N97&lt;TODAY()+1),"Semaine passée",IF(($P97&lt;&gt;"")*($P97&gt;=TODAY())*($P97&lt;=TODAY()+13),"À venir","Autre"))))</f>
        <v/>
      </c>
      <c r="V97" cm="1" t="n">
        <f t="array" ref="V97">IF(C97&lt;&gt;"",1,0)</f>
        <v>0</v>
      </c>
    </row>
    <row r="98" ht="78.75" customHeight="1">
      <c r="A98" s="4">
</c>
      <c r="B98" s="4">
</c>
      <c r="C98" s="8">
</c>
      <c r="D98" s="8">
</c>
      <c r="E98" s="4">
</c>
      <c r="F98">
</c>
      <c r="G98" s="9" cm="1" t="str">
        <f t="array" ref="G98">IF(F98="","",SUBSTITUTE(SUBSTITUTE(SUBSTITUTE(SUBSTITUTE(F98,"&lt;li&gt;",CHAR(10)),"&lt;/li&gt;",""),"&lt;br&gt;",CHAR(10)),"&lt;strong&gt;",""))</f>
        <v/>
      </c>
      <c r="H98" s="9" cm="1" t="str">
        <f t="array" ref="H98">IF(G98="","",SUBSTITUTE(SUBSTITUTE(SUBSTITUTE(SUBSTITUTE(SUBSTITUTE(G98,"&lt;p&gt;",""),"&lt;/p&gt;",""),"&lt;ul&gt;",""),"&lt;/ul&gt;",""),"&lt;/strong&gt;",""))</f>
        <v/>
      </c>
      <c r="I98" s="9" cm="1" t="str">
        <f t="array" ref="I98">IF(C98="","",IF(OR(H98="",H98=0,H98=FALSE),"-",H98))</f>
        <v/>
      </c>
      <c r="J98">
</c>
      <c r="K98" s="4">
</c>
      <c r="L98" s="4" cm="1" t="str">
        <f t="array" ref="L98">IF(C98="","",IF(K98="Mort / Plus rien à faire","KO","OK"))</f>
        <v/>
      </c>
      <c r="M98" s="10">
</c>
      <c r="N98" s="10" cm="1" t="str">
        <f t="array" ref="N98">IF(OR(C98="",M98="",M98=0),"",M98)</f>
        <v/>
      </c>
      <c r="O98" s="10">
</c>
      <c r="P98" s="10" cm="1" t="str">
        <f t="array" ref="P98">IF(C98="","",IF(OR(O98="",O98=0),"-",O98))</f>
        <v/>
      </c>
      <c r="Q98" s="11">
</c>
      <c r="R98" s="4" cm="1" t="str">
        <f t="array" ref="R98">IF(C98="","",ROUND(Q98/1000000,3)&amp;" M€")</f>
        <v/>
      </c>
      <c r="S98" s="12">
</c>
      <c r="T98" s="4" cm="1" t="str">
        <f t="array" ref="T98">IF(C98="","",SUBSTITUTE(S98,"","")&amp;"%")</f>
        <v/>
      </c>
      <c r="U98" s="4" cm="1" t="str">
        <f t="array" ref="U98">IF(($N98="")*($P98=""),"",IF(($N98&lt;&gt;"")*($N98&gt;TODAY()-9)*($N98&lt;TODAY()+1)*($P98&lt;&gt;"")*($P98&gt;=TODAY())*($P98&lt;=TODAY()+13),"Semaine passée &amp; à venir",IF(($N98&lt;&gt;"")*($N98&gt;TODAY()-9)*($N98&lt;TODAY()+1),"Semaine passée",IF(($P98&lt;&gt;"")*($P98&gt;=TODAY())*($P98&lt;=TODAY()+13),"À venir","Autre"))))</f>
        <v/>
      </c>
      <c r="V98" cm="1" t="n">
        <f t="array" ref="V98">IF(C98&lt;&gt;"",1,0)</f>
        <v>0</v>
      </c>
    </row>
    <row r="99" ht="78.75" customHeight="1">
      <c r="A99" s="4">
</c>
      <c r="B99" s="4">
</c>
      <c r="C99" s="8">
</c>
      <c r="D99" s="8">
</c>
      <c r="E99" s="4">
</c>
      <c r="F99">
</c>
      <c r="G99" s="9" cm="1" t="str">
        <f t="array" ref="G99">IF(F99="","",SUBSTITUTE(SUBSTITUTE(SUBSTITUTE(SUBSTITUTE(F99,"&lt;li&gt;",CHAR(10)),"&lt;/li&gt;",""),"&lt;br&gt;",CHAR(10)),"&lt;strong&gt;",""))</f>
        <v/>
      </c>
      <c r="H99" s="9" cm="1" t="str">
        <f t="array" ref="H99">IF(G99="","",SUBSTITUTE(SUBSTITUTE(SUBSTITUTE(SUBSTITUTE(SUBSTITUTE(G99,"&lt;p&gt;",""),"&lt;/p&gt;",""),"&lt;ul&gt;",""),"&lt;/ul&gt;",""),"&lt;/strong&gt;",""))</f>
        <v/>
      </c>
      <c r="I99" s="9" cm="1" t="str">
        <f t="array" ref="I99">IF(C99="","",IF(OR(H99="",H99=0,H99=FALSE),"-",H99))</f>
        <v/>
      </c>
      <c r="J99">
</c>
      <c r="K99" s="4">
</c>
      <c r="L99" s="4" cm="1" t="str">
        <f t="array" ref="L99">IF(C99="","",IF(K99="Mort / Plus rien à faire","KO","OK"))</f>
        <v/>
      </c>
      <c r="M99" s="10">
</c>
      <c r="N99" s="10" cm="1" t="str">
        <f t="array" ref="N99">IF(OR(C99="",M99="",M99=0),"",M99)</f>
        <v/>
      </c>
      <c r="O99" s="10">
</c>
      <c r="P99" s="10" cm="1" t="str">
        <f t="array" ref="P99">IF(C99="","",IF(OR(O99="",O99=0),"-",O99))</f>
        <v/>
      </c>
      <c r="Q99" s="11">
</c>
      <c r="R99" s="4" cm="1" t="str">
        <f t="array" ref="R99">IF(C99="","",ROUND(Q99/1000000,3)&amp;" M€")</f>
        <v/>
      </c>
      <c r="S99" s="12">
</c>
      <c r="T99" s="4" cm="1" t="str">
        <f t="array" ref="T99">IF(C99="","",SUBSTITUTE(S99,"","")&amp;"%")</f>
        <v/>
      </c>
      <c r="U99" s="4" cm="1" t="str">
        <f t="array" ref="U99">IF(($N99="")*($P99=""),"",IF(($N99&lt;&gt;"")*($N99&gt;TODAY()-9)*($N99&lt;TODAY()+1)*($P99&lt;&gt;"")*($P99&gt;=TODAY())*($P99&lt;=TODAY()+13),"Semaine passée &amp; à venir",IF(($N99&lt;&gt;"")*($N99&gt;TODAY()-9)*($N99&lt;TODAY()+1),"Semaine passée",IF(($P99&lt;&gt;"")*($P99&gt;=TODAY())*($P99&lt;=TODAY()+13),"À venir","Autre"))))</f>
        <v/>
      </c>
      <c r="V99" cm="1" t="n">
        <f t="array" ref="V99">IF(C99&lt;&gt;"",1,0)</f>
        <v>0</v>
      </c>
    </row>
    <row r="100" ht="78.75" customHeight="1">
      <c r="A100" s="4">
</c>
      <c r="B100" s="4">
</c>
      <c r="C100" s="8">
</c>
      <c r="D100" s="8">
</c>
      <c r="E100" s="4">
</c>
      <c r="F100">
</c>
      <c r="G100" s="9" cm="1" t="str">
        <f t="array" ref="G100">IF(F100="","",SUBSTITUTE(SUBSTITUTE(SUBSTITUTE(SUBSTITUTE(F100,"&lt;li&gt;",CHAR(10)),"&lt;/li&gt;",""),"&lt;br&gt;",CHAR(10)),"&lt;strong&gt;",""))</f>
        <v/>
      </c>
      <c r="H100" s="9" cm="1" t="str">
        <f t="array" ref="H100">IF(G100="","",SUBSTITUTE(SUBSTITUTE(SUBSTITUTE(SUBSTITUTE(SUBSTITUTE(G100,"&lt;p&gt;",""),"&lt;/p&gt;",""),"&lt;ul&gt;",""),"&lt;/ul&gt;",""),"&lt;/strong&gt;",""))</f>
        <v/>
      </c>
      <c r="I100" s="9" cm="1" t="str">
        <f t="array" ref="I100">IF(C100="","",IF(OR(H100="",H100=0,H100=FALSE),"-",H100))</f>
        <v/>
      </c>
      <c r="J100">
</c>
      <c r="K100" s="4">
</c>
      <c r="L100" s="4" cm="1" t="str">
        <f t="array" ref="L100">IF(C100="","",IF(K100="Mort / Plus rien à faire","KO","OK"))</f>
        <v/>
      </c>
      <c r="M100" s="10">
</c>
      <c r="N100" s="10" cm="1" t="str">
        <f t="array" ref="N100">IF(OR(C100="",M100="",M100=0),"",M100)</f>
        <v/>
      </c>
      <c r="O100" s="10">
</c>
      <c r="P100" s="10" cm="1" t="str">
        <f t="array" ref="P100">IF(C100="","",IF(OR(O100="",O100=0),"-",O100))</f>
        <v/>
      </c>
      <c r="Q100" s="11">
</c>
      <c r="R100" s="4" cm="1" t="str">
        <f t="array" ref="R100">IF(C100="","",ROUND(Q100/1000000,3)&amp;" M€")</f>
        <v/>
      </c>
      <c r="S100" s="12">
</c>
      <c r="T100" s="4" cm="1" t="str">
        <f t="array" ref="T100">IF(C100="","",SUBSTITUTE(S100,"","")&amp;"%")</f>
        <v/>
      </c>
      <c r="U100" s="4" cm="1" t="str">
        <f t="array" ref="U100">IF(($N100="")*($P100=""),"",IF(($N100&lt;&gt;"")*($N100&gt;TODAY()-9)*($N100&lt;TODAY()+1)*($P100&lt;&gt;"")*($P100&gt;=TODAY())*($P100&lt;=TODAY()+13),"Semaine passée &amp; à venir",IF(($N100&lt;&gt;"")*($N100&gt;TODAY()-9)*($N100&lt;TODAY()+1),"Semaine passée",IF(($P100&lt;&gt;"")*($P100&gt;=TODAY())*($P100&lt;=TODAY()+13),"À venir","Autre"))))</f>
        <v/>
      </c>
      <c r="V100" cm="1" t="n">
        <f t="array" ref="V100">IF(C100&lt;&gt;"",1,0)</f>
        <v>0</v>
      </c>
    </row>
    <row r="101" ht="78.75" customHeight="1">
      <c r="A101" s="4">
</c>
      <c r="B101" s="4">
</c>
      <c r="C101" s="8">
</c>
      <c r="D101" s="8">
</c>
      <c r="E101" s="4">
</c>
      <c r="F101">
</c>
      <c r="G101" s="9" cm="1" t="str">
        <f t="array" ref="G101">IF(F101="","",SUBSTITUTE(SUBSTITUTE(SUBSTITUTE(SUBSTITUTE(F101,"&lt;li&gt;",CHAR(10)),"&lt;/li&gt;",""),"&lt;br&gt;",CHAR(10)),"&lt;strong&gt;",""))</f>
        <v/>
      </c>
      <c r="H101" s="9" cm="1" t="str">
        <f t="array" ref="H101">IF(G101="","",SUBSTITUTE(SUBSTITUTE(SUBSTITUTE(SUBSTITUTE(SUBSTITUTE(G101,"&lt;p&gt;",""),"&lt;/p&gt;",""),"&lt;ul&gt;",""),"&lt;/ul&gt;",""),"&lt;/strong&gt;",""))</f>
        <v/>
      </c>
      <c r="I101" s="9" cm="1" t="str">
        <f t="array" ref="I101">IF(C101="","",IF(OR(H101="",H101=0,H101=FALSE),"-",H101))</f>
        <v/>
      </c>
      <c r="J101">
</c>
      <c r="K101" s="4">
</c>
      <c r="L101" s="4" cm="1" t="str">
        <f t="array" ref="L101">IF(C101="","",IF(K101="Mort / Plus rien à faire","KO","OK"))</f>
        <v/>
      </c>
      <c r="M101" s="10">
</c>
      <c r="N101" s="10" cm="1" t="str">
        <f t="array" ref="N101">IF(OR(C101="",M101="",M101=0),"",M101)</f>
        <v/>
      </c>
      <c r="O101" s="10">
</c>
      <c r="P101" s="10" cm="1" t="str">
        <f t="array" ref="P101">IF(C101="","",IF(OR(O101="",O101=0),"-",O101))</f>
        <v/>
      </c>
      <c r="Q101" s="11">
</c>
      <c r="R101" s="4" cm="1" t="str">
        <f t="array" ref="R101">IF(C101="","",ROUND(Q101/1000000,3)&amp;" M€")</f>
        <v/>
      </c>
      <c r="S101" s="12">
</c>
      <c r="T101" s="4" cm="1" t="str">
        <f t="array" ref="T101">IF(C101="","",SUBSTITUTE(S101,"","")&amp;"%")</f>
        <v/>
      </c>
      <c r="U101" s="4" cm="1" t="str">
        <f t="array" ref="U101">IF(($N101="")*($P101=""),"",IF(($N101&lt;&gt;"")*($N101&gt;TODAY()-9)*($N101&lt;TODAY()+1)*($P101&lt;&gt;"")*($P101&gt;=TODAY())*($P101&lt;=TODAY()+13),"Semaine passée &amp; à venir",IF(($N101&lt;&gt;"")*($N101&gt;TODAY()-9)*($N101&lt;TODAY()+1),"Semaine passée",IF(($P101&lt;&gt;"")*($P101&gt;=TODAY())*($P101&lt;=TODAY()+13),"À venir","Autre"))))</f>
        <v/>
      </c>
      <c r="V101" cm="1" t="n">
        <f t="array" ref="V101">IF(C101&lt;&gt;"",1,0)</f>
        <v>0</v>
      </c>
    </row>
    <row r="102" ht="78.75" customHeight="1">
      <c r="A102" s="4">
</c>
      <c r="B102" s="4">
</c>
      <c r="C102" s="8">
</c>
      <c r="D102" s="8">
</c>
      <c r="E102" s="4">
</c>
      <c r="F102">
</c>
      <c r="G102" s="9" cm="1" t="str">
        <f t="array" ref="G102">IF(F102="","",SUBSTITUTE(SUBSTITUTE(SUBSTITUTE(SUBSTITUTE(F102,"&lt;li&gt;",CHAR(10)),"&lt;/li&gt;",""),"&lt;br&gt;",CHAR(10)),"&lt;strong&gt;",""))</f>
        <v/>
      </c>
      <c r="H102" s="9" cm="1" t="str">
        <f t="array" ref="H102">IF(G102="","",SUBSTITUTE(SUBSTITUTE(SUBSTITUTE(SUBSTITUTE(SUBSTITUTE(G102,"&lt;p&gt;",""),"&lt;/p&gt;",""),"&lt;ul&gt;",""),"&lt;/ul&gt;",""),"&lt;/strong&gt;",""))</f>
        <v/>
      </c>
      <c r="I102" s="9" cm="1" t="str">
        <f t="array" ref="I102">IF(C102="","",IF(OR(H102="",H102=0,H102=FALSE),"-",H102))</f>
        <v/>
      </c>
      <c r="J102">
</c>
      <c r="K102" s="4">
</c>
      <c r="L102" s="4" cm="1" t="str">
        <f t="array" ref="L102">IF(C102="","",IF(K102="Mort / Plus rien à faire","KO","OK"))</f>
        <v/>
      </c>
      <c r="M102" s="10">
</c>
      <c r="N102" s="10" cm="1" t="str">
        <f t="array" ref="N102">IF(OR(C102="",M102="",M102=0),"",M102)</f>
        <v/>
      </c>
      <c r="O102" s="10">
</c>
      <c r="P102" s="10" cm="1" t="str">
        <f t="array" ref="P102">IF(C102="","",IF(OR(O102="",O102=0),"-",O102))</f>
        <v/>
      </c>
      <c r="Q102" s="11">
</c>
      <c r="R102" s="4" cm="1" t="str">
        <f t="array" ref="R102">IF(C102="","",ROUND(Q102/1000000,3)&amp;" M€")</f>
        <v/>
      </c>
      <c r="S102" s="12">
</c>
      <c r="T102" s="4" cm="1" t="str">
        <f t="array" ref="T102">IF(C102="","",SUBSTITUTE(S102,"","")&amp;"%")</f>
        <v/>
      </c>
      <c r="U102" s="4" cm="1" t="str">
        <f t="array" ref="U102">IF(($N102="")*($P102=""),"",IF(($N102&lt;&gt;"")*($N102&gt;TODAY()-9)*($N102&lt;TODAY()+1)*($P102&lt;&gt;"")*($P102&gt;=TODAY())*($P102&lt;=TODAY()+13),"Semaine passée &amp; à venir",IF(($N102&lt;&gt;"")*($N102&gt;TODAY()-9)*($N102&lt;TODAY()+1),"Semaine passée",IF(($P102&lt;&gt;"")*($P102&gt;=TODAY())*($P102&lt;=TODAY()+13),"À venir","Autre"))))</f>
        <v/>
      </c>
      <c r="V102" cm="1" t="n">
        <f t="array" ref="V102">IF(C102&lt;&gt;"",1,0)</f>
        <v>0</v>
      </c>
    </row>
    <row r="103" ht="78.75" customHeight="1">
      <c r="A103">
</c>
      <c r="B103">
</c>
      <c r="C103" s="13">
</c>
      <c r="D103" s="13">
</c>
      <c r="E103">
</c>
      <c r="F103">
</c>
      <c r="G103" s="9" cm="1" t="str">
        <f t="array" ref="G103">IF(F103="","",SUBSTITUTE(SUBSTITUTE(SUBSTITUTE(SUBSTITUTE(F103,"&lt;li&gt;",CHAR(10)),"&lt;/li&gt;",""),"&lt;br&gt;",CHAR(10)),"&lt;strong&gt;",""))</f>
        <v/>
      </c>
      <c r="H103" s="9" cm="1" t="str">
        <f t="array" ref="H103">IF(G103="","",SUBSTITUTE(SUBSTITUTE(SUBSTITUTE(SUBSTITUTE(SUBSTITUTE(G103,"&lt;p&gt;",""),"&lt;/p&gt;",""),"&lt;ul&gt;",""),"&lt;/ul&gt;",""),"&lt;/strong&gt;",""))</f>
        <v/>
      </c>
      <c r="I103" s="9" cm="1" t="str">
        <f t="array" ref="I103">IF(C103="","",IF(OR(H103="",H103=0,H103=FALSE),"-",H103))</f>
        <v/>
      </c>
      <c r="J103">
</c>
      <c r="K103">
</c>
      <c r="L103" s="4" cm="1" t="str">
        <f t="array" ref="L103">IF(C103="","",IF(K103="Mort / Plus rien à faire","KO","OK"))</f>
        <v/>
      </c>
      <c r="M103" s="14">
</c>
      <c r="N103" s="10" cm="1" t="str">
        <f t="array" ref="N103">IF(OR(C103="",M103="",M103=0),"",M103)</f>
        <v/>
      </c>
      <c r="O103" s="14">
</c>
      <c r="P103" s="10" cm="1" t="str">
        <f t="array" ref="P103">IF(C103="","",IF(OR(O103="",O103=0),"-",O103))</f>
        <v/>
      </c>
      <c r="Q103" s="15">
</c>
      <c r="R103" s="4" cm="1" t="str">
        <f t="array" ref="R103">IF(C103="","",ROUND(Q103/1000000,3)&amp;" M€")</f>
        <v/>
      </c>
      <c r="S103" s="16">
</c>
      <c r="T103" s="4" cm="1" t="str">
        <f t="array" ref="T103">IF(C103="","",SUBSTITUTE(S103,"","")&amp;"%")</f>
        <v/>
      </c>
      <c r="U103" s="4" cm="1" t="str">
        <f t="array" ref="U103">IF(($N103="")*($P103=""),"",IF(($N103&lt;&gt;"")*($N103&gt;TODAY()-9)*($N103&lt;TODAY()+1)*($P103&lt;&gt;"")*($P103&gt;=TODAY())*($P103&lt;=TODAY()+13),"Semaine passée &amp; à venir",IF(($N103&lt;&gt;"")*($N103&gt;TODAY()-9)*($N103&lt;TODAY()+1),"Semaine passée",IF(($P103&lt;&gt;"")*($P103&gt;=TODAY())*($P103&lt;=TODAY()+13),"À venir","Autre"))))</f>
        <v/>
      </c>
      <c r="V103" cm="1" t="n">
        <f t="array" ref="V103">IF(C103&lt;&gt;"",1,0)</f>
        <v>0</v>
      </c>
    </row>
    <row r="104" ht="78.75" customHeight="1">
      <c r="A104">
</c>
      <c r="B104">
</c>
      <c r="C104" s="13">
</c>
      <c r="D104" s="13">
</c>
      <c r="E104">
</c>
      <c r="F104">
</c>
      <c r="G104" s="9" cm="1" t="str">
        <f t="array" ref="G104">IF(F104="","",SUBSTITUTE(SUBSTITUTE(SUBSTITUTE(SUBSTITUTE(F104,"&lt;li&gt;",CHAR(10)),"&lt;/li&gt;",""),"&lt;br&gt;",CHAR(10)),"&lt;strong&gt;",""))</f>
        <v/>
      </c>
      <c r="H104" s="9" cm="1" t="str">
        <f t="array" ref="H104">IF(G104="","",SUBSTITUTE(SUBSTITUTE(SUBSTITUTE(SUBSTITUTE(SUBSTITUTE(G104,"&lt;p&gt;",""),"&lt;/p&gt;",""),"&lt;ul&gt;",""),"&lt;/ul&gt;",""),"&lt;/strong&gt;",""))</f>
        <v/>
      </c>
      <c r="I104" s="9" cm="1" t="str">
        <f t="array" ref="I104">IF(C104="","",IF(OR(H104="",H104=0,H104=FALSE),"-",H104))</f>
        <v/>
      </c>
      <c r="J104">
</c>
      <c r="K104">
</c>
      <c r="L104" s="4" cm="1" t="str">
        <f t="array" ref="L104">IF(C104="","",IF(K104="Mort / Plus rien à faire","KO","OK"))</f>
        <v/>
      </c>
      <c r="M104" s="14">
</c>
      <c r="N104" s="10" cm="1" t="str">
        <f t="array" ref="N104">IF(OR(C104="",M104="",M104=0),"",M104)</f>
        <v/>
      </c>
      <c r="O104" s="14">
</c>
      <c r="P104" s="10" cm="1" t="str">
        <f t="array" ref="P104">IF(C104="","",IF(OR(O104="",O104=0),"-",O104))</f>
        <v/>
      </c>
      <c r="Q104" s="15">
</c>
      <c r="R104" s="4" cm="1" t="str">
        <f t="array" ref="R104">IF(C104="","",ROUND(Q104/1000000,3)&amp;" M€")</f>
        <v/>
      </c>
      <c r="S104" s="16">
</c>
      <c r="T104" s="4" cm="1" t="str">
        <f t="array" ref="T104">IF(C104="","",SUBSTITUTE(S104,"","")&amp;"%")</f>
        <v/>
      </c>
      <c r="U104" s="4" cm="1" t="str">
        <f t="array" ref="U104">IF(($N104="")*($P104=""),"",IF(($N104&lt;&gt;"")*($N104&gt;TODAY()-9)*($N104&lt;TODAY()+1)*($P104&lt;&gt;"")*($P104&gt;=TODAY())*($P104&lt;=TODAY()+13),"Semaine passée &amp; à venir",IF(($N104&lt;&gt;"")*($N104&gt;TODAY()-9)*($N104&lt;TODAY()+1),"Semaine passée",IF(($P104&lt;&gt;"")*($P104&gt;=TODAY())*($P104&lt;=TODAY()+13),"À venir","Autre"))))</f>
        <v/>
      </c>
      <c r="V104" cm="1" t="n">
        <f t="array" ref="V104">IF(C104&lt;&gt;"",1,0)</f>
        <v>0</v>
      </c>
    </row>
    <row r="105" ht="78.75" customHeight="1">
      <c r="A105">
</c>
      <c r="B105">
</c>
      <c r="C105" s="13">
</c>
      <c r="D105" s="13">
</c>
      <c r="E105">
</c>
      <c r="F105">
</c>
      <c r="G105" s="9" cm="1" t="str">
        <f t="array" ref="G105">IF(F105="","",SUBSTITUTE(SUBSTITUTE(SUBSTITUTE(SUBSTITUTE(F105,"&lt;li&gt;",CHAR(10)),"&lt;/li&gt;",""),"&lt;br&gt;",CHAR(10)),"&lt;strong&gt;",""))</f>
        <v/>
      </c>
      <c r="H105" s="9" cm="1" t="str">
        <f t="array" ref="H105">IF(G105="","",SUBSTITUTE(SUBSTITUTE(SUBSTITUTE(SUBSTITUTE(SUBSTITUTE(G105,"&lt;p&gt;",""),"&lt;/p&gt;",""),"&lt;ul&gt;",""),"&lt;/ul&gt;",""),"&lt;/strong&gt;",""))</f>
        <v/>
      </c>
      <c r="I105" s="9" cm="1" t="str">
        <f t="array" ref="I105">IF(C105="","",IF(OR(H105="",H105=0,H105=FALSE),"-",H105))</f>
        <v/>
      </c>
      <c r="J105">
</c>
      <c r="K105">
</c>
      <c r="L105" s="4" cm="1" t="str">
        <f t="array" ref="L105">IF(C105="","",IF(K105="Mort / Plus rien à faire","KO","OK"))</f>
        <v/>
      </c>
      <c r="M105" s="14">
</c>
      <c r="N105" s="10" cm="1" t="str">
        <f t="array" ref="N105">IF(OR(C105="",M105="",M105=0),"",M105)</f>
        <v/>
      </c>
      <c r="O105" s="14">
</c>
      <c r="P105" s="10" cm="1" t="str">
        <f t="array" ref="P105">IF(C105="","",IF(OR(O105="",O105=0),"-",O105))</f>
        <v/>
      </c>
      <c r="Q105" s="15">
</c>
      <c r="R105" s="4" cm="1" t="str">
        <f t="array" ref="R105">IF(C105="","",ROUND(Q105/1000000,3)&amp;" M€")</f>
        <v/>
      </c>
      <c r="S105" s="16">
</c>
      <c r="T105" s="4" cm="1" t="str">
        <f t="array" ref="T105">IF(C105="","",SUBSTITUTE(S105,"","")&amp;"%")</f>
        <v/>
      </c>
      <c r="U105" s="4" cm="1" t="str">
        <f t="array" ref="U105">IF(($N105="")*($P105=""),"",IF(($N105&lt;&gt;"")*($N105&gt;TODAY()-9)*($N105&lt;TODAY()+1)*($P105&lt;&gt;"")*($P105&gt;=TODAY())*($P105&lt;=TODAY()+13),"Semaine passée &amp; à venir",IF(($N105&lt;&gt;"")*($N105&gt;TODAY()-9)*($N105&lt;TODAY()+1),"Semaine passée",IF(($P105&lt;&gt;"")*($P105&gt;=TODAY())*($P105&lt;=TODAY()+13),"À venir","Autre"))))</f>
        <v/>
      </c>
      <c r="V105" cm="1" t="n">
        <f t="array" ref="V105">IF(C105&lt;&gt;"",1,0)</f>
        <v>0</v>
      </c>
    </row>
    <row r="106" ht="78.75" customHeight="1">
      <c r="A106">
</c>
      <c r="B106">
</c>
      <c r="C106" s="13">
</c>
      <c r="D106" s="13">
</c>
      <c r="E106">
</c>
      <c r="F106">
</c>
      <c r="G106" s="9" cm="1" t="str">
        <f t="array" ref="G106">IF(F106="","",SUBSTITUTE(SUBSTITUTE(SUBSTITUTE(SUBSTITUTE(F106,"&lt;li&gt;",CHAR(10)),"&lt;/li&gt;",""),"&lt;br&gt;",CHAR(10)),"&lt;strong&gt;",""))</f>
        <v/>
      </c>
      <c r="H106" s="9" cm="1" t="str">
        <f t="array" ref="H106">IF(G106="","",SUBSTITUTE(SUBSTITUTE(SUBSTITUTE(SUBSTITUTE(SUBSTITUTE(G106,"&lt;p&gt;",""),"&lt;/p&gt;",""),"&lt;ul&gt;",""),"&lt;/ul&gt;",""),"&lt;/strong&gt;",""))</f>
        <v/>
      </c>
      <c r="I106" s="9" cm="1" t="str">
        <f t="array" ref="I106">IF(C106="","",IF(OR(H106="",H106=0,H106=FALSE),"-",H106))</f>
        <v/>
      </c>
      <c r="J106">
</c>
      <c r="K106">
</c>
      <c r="L106" s="4" cm="1" t="str">
        <f t="array" ref="L106">IF(C106="","",IF(K106="Mort / Plus rien à faire","KO","OK"))</f>
        <v/>
      </c>
      <c r="M106" s="14">
</c>
      <c r="N106" s="10" cm="1" t="str">
        <f t="array" ref="N106">IF(OR(C106="",M106="",M106=0),"",M106)</f>
        <v/>
      </c>
      <c r="O106" s="14">
</c>
      <c r="P106" s="10" cm="1" t="str">
        <f t="array" ref="P106">IF(C106="","",IF(OR(O106="",O106=0),"-",O106))</f>
        <v/>
      </c>
      <c r="Q106" s="15">
</c>
      <c r="R106" s="4" cm="1" t="str">
        <f t="array" ref="R106">IF(C106="","",ROUND(Q106/1000000,3)&amp;" M€")</f>
        <v/>
      </c>
      <c r="S106" s="16">
</c>
      <c r="T106" s="4" cm="1" t="str">
        <f t="array" ref="T106">IF(C106="","",SUBSTITUTE(S106,"","")&amp;"%")</f>
        <v/>
      </c>
      <c r="U106" s="4" cm="1" t="str">
        <f t="array" ref="U106">IF(($N106="")*($P106=""),"",IF(($N106&lt;&gt;"")*($N106&gt;TODAY()-9)*($N106&lt;TODAY()+1)*($P106&lt;&gt;"")*($P106&gt;=TODAY())*($P106&lt;=TODAY()+13),"Semaine passée &amp; à venir",IF(($N106&lt;&gt;"")*($N106&gt;TODAY()-9)*($N106&lt;TODAY()+1),"Semaine passée",IF(($P106&lt;&gt;"")*($P106&gt;=TODAY())*($P106&lt;=TODAY()+13),"À venir","Autre"))))</f>
        <v/>
      </c>
      <c r="V106" cm="1" t="n">
        <f t="array" ref="V106">IF(C106&lt;&gt;"",1,0)</f>
        <v>0</v>
      </c>
    </row>
    <row r="107" ht="78.75" customHeight="1">
      <c r="A107">
</c>
      <c r="B107">
</c>
      <c r="C107" s="13">
</c>
      <c r="D107" s="13">
</c>
      <c r="E107">
</c>
      <c r="F107">
</c>
      <c r="G107" s="9" cm="1" t="str">
        <f t="array" ref="G107">IF(F107="","",SUBSTITUTE(SUBSTITUTE(SUBSTITUTE(SUBSTITUTE(F107,"&lt;li&gt;",CHAR(10)),"&lt;/li&gt;",""),"&lt;br&gt;",CHAR(10)),"&lt;strong&gt;",""))</f>
        <v/>
      </c>
      <c r="H107" s="9" cm="1" t="str">
        <f t="array" ref="H107">IF(G107="","",SUBSTITUTE(SUBSTITUTE(SUBSTITUTE(SUBSTITUTE(SUBSTITUTE(G107,"&lt;p&gt;",""),"&lt;/p&gt;",""),"&lt;ul&gt;",""),"&lt;/ul&gt;",""),"&lt;/strong&gt;",""))</f>
        <v/>
      </c>
      <c r="I107" s="9" cm="1" t="str">
        <f t="array" ref="I107">IF(C107="","",IF(OR(H107="",H107=0,H107=FALSE),"-",H107))</f>
        <v/>
      </c>
      <c r="J107">
</c>
      <c r="K107">
</c>
      <c r="L107" s="4" cm="1" t="str">
        <f t="array" ref="L107">IF(C107="","",IF(K107="Mort / Plus rien à faire","KO","OK"))</f>
        <v/>
      </c>
      <c r="M107" s="14">
</c>
      <c r="N107" s="10" cm="1" t="str">
        <f t="array" ref="N107">IF(OR(C107="",M107="",M107=0),"",M107)</f>
        <v/>
      </c>
      <c r="O107" s="14">
</c>
      <c r="P107" s="10" cm="1" t="str">
        <f t="array" ref="P107">IF(C107="","",IF(OR(O107="",O107=0),"-",O107))</f>
        <v/>
      </c>
      <c r="Q107" s="15">
</c>
      <c r="R107" s="4" cm="1" t="str">
        <f t="array" ref="R107">IF(C107="","",ROUND(Q107/1000000,3)&amp;" M€")</f>
        <v/>
      </c>
      <c r="S107" s="16">
</c>
      <c r="T107" s="4" cm="1" t="str">
        <f t="array" ref="T107">IF(C107="","",SUBSTITUTE(S107,"","")&amp;"%")</f>
        <v/>
      </c>
      <c r="U107" s="4" cm="1" t="str">
        <f t="array" ref="U107">IF(($N107="")*($P107=""),"",IF(($N107&lt;&gt;"")*($N107&gt;TODAY()-9)*($N107&lt;TODAY()+1)*($P107&lt;&gt;"")*($P107&gt;=TODAY())*($P107&lt;=TODAY()+13),"Semaine passée &amp; à venir",IF(($N107&lt;&gt;"")*($N107&gt;TODAY()-9)*($N107&lt;TODAY()+1),"Semaine passée",IF(($P107&lt;&gt;"")*($P107&gt;=TODAY())*($P107&lt;=TODAY()+13),"À venir","Autre"))))</f>
        <v/>
      </c>
      <c r="V107" cm="1" t="n">
        <f t="array" ref="V107">IF(C107&lt;&gt;"",1,0)</f>
        <v>0</v>
      </c>
    </row>
    <row r="108" ht="78.75" customHeight="1">
      <c r="A108">
</c>
      <c r="B108">
</c>
      <c r="C108" s="13">
</c>
      <c r="D108" s="13">
</c>
      <c r="E108">
</c>
      <c r="F108">
</c>
      <c r="G108" s="9" cm="1" t="str">
        <f t="array" ref="G108">IF(F108="","",SUBSTITUTE(SUBSTITUTE(SUBSTITUTE(SUBSTITUTE(F108,"&lt;li&gt;",CHAR(10)),"&lt;/li&gt;",""),"&lt;br&gt;",CHAR(10)),"&lt;strong&gt;",""))</f>
        <v/>
      </c>
      <c r="H108" s="9" cm="1" t="str">
        <f t="array" ref="H108">IF(G108="","",SUBSTITUTE(SUBSTITUTE(SUBSTITUTE(SUBSTITUTE(SUBSTITUTE(G108,"&lt;p&gt;",""),"&lt;/p&gt;",""),"&lt;ul&gt;",""),"&lt;/ul&gt;",""),"&lt;/strong&gt;",""))</f>
        <v/>
      </c>
      <c r="I108" s="9" cm="1" t="str">
        <f t="array" ref="I108">IF(C108="","",IF(OR(H108="",H108=0,H108=FALSE),"-",H108))</f>
        <v/>
      </c>
      <c r="J108">
</c>
      <c r="K108">
</c>
      <c r="L108" s="4" cm="1" t="str">
        <f t="array" ref="L108">IF(C108="","",IF(K108="Mort / Plus rien à faire","KO","OK"))</f>
        <v/>
      </c>
      <c r="M108" s="14">
</c>
      <c r="N108" s="10" cm="1" t="str">
        <f t="array" ref="N108">IF(OR(C108="",M108="",M108=0),"",M108)</f>
        <v/>
      </c>
      <c r="O108" s="14">
</c>
      <c r="P108" s="10" cm="1" t="str">
        <f t="array" ref="P108">IF(C108="","",IF(OR(O108="",O108=0),"-",O108))</f>
        <v/>
      </c>
      <c r="Q108" s="15">
</c>
      <c r="R108" s="4" cm="1" t="str">
        <f t="array" ref="R108">IF(C108="","",ROUND(Q108/1000000,3)&amp;" M€")</f>
        <v/>
      </c>
      <c r="S108" s="16">
</c>
      <c r="T108" s="4" cm="1" t="str">
        <f t="array" ref="T108">IF(C108="","",SUBSTITUTE(S108,"","")&amp;"%")</f>
        <v/>
      </c>
      <c r="U108" s="4" cm="1" t="str">
        <f t="array" ref="U108">IF(($N108="")*($P108=""),"",IF(($N108&lt;&gt;"")*($N108&gt;TODAY()-9)*($N108&lt;TODAY()+1)*($P108&lt;&gt;"")*($P108&gt;=TODAY())*($P108&lt;=TODAY()+13),"Semaine passée &amp; à venir",IF(($N108&lt;&gt;"")*($N108&gt;TODAY()-9)*($N108&lt;TODAY()+1),"Semaine passée",IF(($P108&lt;&gt;"")*($P108&gt;=TODAY())*($P108&lt;=TODAY()+13),"À venir","Autre"))))</f>
        <v/>
      </c>
      <c r="V108" cm="1" t="n">
        <f t="array" ref="V108">IF(C108&lt;&gt;"",1,0)</f>
        <v>0</v>
      </c>
    </row>
    <row r="109" ht="78.75" customHeight="1">
      <c r="A109">
</c>
      <c r="B109">
</c>
      <c r="C109" s="13">
</c>
      <c r="D109" s="13">
</c>
      <c r="E109">
</c>
      <c r="F109">
</c>
      <c r="G109" s="9" cm="1" t="str">
        <f t="array" ref="G109">IF(F109="","",SUBSTITUTE(SUBSTITUTE(SUBSTITUTE(SUBSTITUTE(F109,"&lt;li&gt;",CHAR(10)),"&lt;/li&gt;",""),"&lt;br&gt;",CHAR(10)),"&lt;strong&gt;",""))</f>
        <v/>
      </c>
      <c r="H109" s="9" cm="1" t="str">
        <f t="array" ref="H109">IF(G109="","",SUBSTITUTE(SUBSTITUTE(SUBSTITUTE(SUBSTITUTE(SUBSTITUTE(G109,"&lt;p&gt;",""),"&lt;/p&gt;",""),"&lt;ul&gt;",""),"&lt;/ul&gt;",""),"&lt;/strong&gt;",""))</f>
        <v/>
      </c>
      <c r="I109" s="9" cm="1" t="str">
        <f t="array" ref="I109">IF(C109="","",IF(OR(H109="",H109=0,H109=FALSE),"-",H109))</f>
        <v/>
      </c>
      <c r="J109">
</c>
      <c r="K109">
</c>
      <c r="L109" s="4" cm="1" t="str">
        <f t="array" ref="L109">IF(C109="","",IF(K109="Mort / Plus rien à faire","KO","OK"))</f>
        <v/>
      </c>
      <c r="M109" s="14">
</c>
      <c r="N109" s="10" cm="1" t="str">
        <f t="array" ref="N109">IF(OR(C109="",M109="",M109=0),"",M109)</f>
        <v/>
      </c>
      <c r="O109" s="14">
</c>
      <c r="P109" s="10" cm="1" t="str">
        <f t="array" ref="P109">IF(C109="","",IF(OR(O109="",O109=0),"-",O109))</f>
        <v/>
      </c>
      <c r="Q109" s="15">
</c>
      <c r="R109" s="4" cm="1" t="str">
        <f t="array" ref="R109">IF(C109="","",ROUND(Q109/1000000,3)&amp;" M€")</f>
        <v/>
      </c>
      <c r="S109" s="16">
</c>
      <c r="T109" s="4" cm="1" t="str">
        <f t="array" ref="T109">IF(C109="","",SUBSTITUTE(S109,"","")&amp;"%")</f>
        <v/>
      </c>
      <c r="U109" s="4" cm="1" t="str">
        <f t="array" ref="U109">IF(($N109="")*($P109=""),"",IF(($N109&lt;&gt;"")*($N109&gt;TODAY()-9)*($N109&lt;TODAY()+1)*($P109&lt;&gt;"")*($P109&gt;=TODAY())*($P109&lt;=TODAY()+13),"Semaine passée &amp; à venir",IF(($N109&lt;&gt;"")*($N109&gt;TODAY()-9)*($N109&lt;TODAY()+1),"Semaine passée",IF(($P109&lt;&gt;"")*($P109&gt;=TODAY())*($P109&lt;=TODAY()+13),"À venir","Autre"))))</f>
        <v/>
      </c>
      <c r="V109" cm="1" t="n">
        <f t="array" ref="V109">IF(C109&lt;&gt;"",1,0)</f>
        <v>0</v>
      </c>
    </row>
    <row r="110" ht="78.75" customHeight="1">
      <c r="A110">
</c>
      <c r="B110">
</c>
      <c r="C110" s="13">
</c>
      <c r="D110" s="13">
</c>
      <c r="E110">
</c>
      <c r="F110">
</c>
      <c r="G110" s="9" cm="1" t="str">
        <f t="array" ref="G110">IF(F110="","",SUBSTITUTE(SUBSTITUTE(SUBSTITUTE(SUBSTITUTE(F110,"&lt;li&gt;",CHAR(10)),"&lt;/li&gt;",""),"&lt;br&gt;",CHAR(10)),"&lt;strong&gt;",""))</f>
        <v/>
      </c>
      <c r="H110" s="9" cm="1" t="str">
        <f t="array" ref="H110">IF(G110="","",SUBSTITUTE(SUBSTITUTE(SUBSTITUTE(SUBSTITUTE(SUBSTITUTE(G110,"&lt;p&gt;",""),"&lt;/p&gt;",""),"&lt;ul&gt;",""),"&lt;/ul&gt;",""),"&lt;/strong&gt;",""))</f>
        <v/>
      </c>
      <c r="I110" s="9" cm="1" t="str">
        <f t="array" ref="I110">IF(C110="","",IF(OR(H110="",H110=0,H110=FALSE),"-",H110))</f>
        <v/>
      </c>
      <c r="J110">
</c>
      <c r="K110">
</c>
      <c r="L110" s="4" cm="1" t="str">
        <f t="array" ref="L110">IF(C110="","",IF(K110="Mort / Plus rien à faire","KO","OK"))</f>
        <v/>
      </c>
      <c r="M110" s="14">
</c>
      <c r="N110" s="10" cm="1" t="str">
        <f t="array" ref="N110">IF(OR(C110="",M110="",M110=0),"",M110)</f>
        <v/>
      </c>
      <c r="O110" s="14">
</c>
      <c r="P110" s="10" cm="1" t="str">
        <f t="array" ref="P110">IF(C110="","",IF(OR(O110="",O110=0),"-",O110))</f>
        <v/>
      </c>
      <c r="Q110" s="15">
</c>
      <c r="R110" s="4" cm="1" t="str">
        <f t="array" ref="R110">IF(C110="","",ROUND(Q110/1000000,3)&amp;" M€")</f>
        <v/>
      </c>
      <c r="S110" s="16">
</c>
      <c r="T110" s="4" cm="1" t="str">
        <f t="array" ref="T110">IF(C110="","",SUBSTITUTE(S110,"","")&amp;"%")</f>
        <v/>
      </c>
      <c r="U110" s="4" cm="1" t="str">
        <f t="array" ref="U110">IF(($N110="")*($P110=""),"",IF(($N110&lt;&gt;"")*($N110&gt;TODAY()-9)*($N110&lt;TODAY()+1)*($P110&lt;&gt;"")*($P110&gt;=TODAY())*($P110&lt;=TODAY()+13),"Semaine passée &amp; à venir",IF(($N110&lt;&gt;"")*($N110&gt;TODAY()-9)*($N110&lt;TODAY()+1),"Semaine passée",IF(($P110&lt;&gt;"")*($P110&gt;=TODAY())*($P110&lt;=TODAY()+13),"À venir","Autre"))))</f>
        <v/>
      </c>
      <c r="V110" cm="1" t="n">
        <f t="array" ref="V110">IF(C110&lt;&gt;"",1,0)</f>
        <v>0</v>
      </c>
    </row>
    <row r="111" ht="78.75" customHeight="1">
      <c r="A111">
</c>
      <c r="B111">
</c>
      <c r="C111" s="13">
</c>
      <c r="D111" s="13">
</c>
      <c r="E111">
</c>
      <c r="F111">
</c>
      <c r="G111" s="9" cm="1" t="str">
        <f t="array" ref="G111">IF(F111="","",SUBSTITUTE(SUBSTITUTE(SUBSTITUTE(SUBSTITUTE(F111,"&lt;li&gt;",CHAR(10)),"&lt;/li&gt;",""),"&lt;br&gt;",CHAR(10)),"&lt;strong&gt;",""))</f>
        <v/>
      </c>
      <c r="H111" s="9" cm="1" t="str">
        <f t="array" ref="H111">IF(G111="","",SUBSTITUTE(SUBSTITUTE(SUBSTITUTE(SUBSTITUTE(SUBSTITUTE(G111,"&lt;p&gt;",""),"&lt;/p&gt;",""),"&lt;ul&gt;",""),"&lt;/ul&gt;",""),"&lt;/strong&gt;",""))</f>
        <v/>
      </c>
      <c r="I111" s="9" cm="1" t="str">
        <f t="array" ref="I111">IF(C111="","",IF(OR(H111="",H111=0,H111=FALSE),"-",H111))</f>
        <v/>
      </c>
      <c r="J111">
</c>
      <c r="K111">
</c>
      <c r="L111" s="4" cm="1" t="str">
        <f t="array" ref="L111">IF(C111="","",IF(K111="Mort / Plus rien à faire","KO","OK"))</f>
        <v/>
      </c>
      <c r="M111" s="14">
</c>
      <c r="N111" s="10" cm="1" t="str">
        <f t="array" ref="N111">IF(OR(C111="",M111="",M111=0),"",M111)</f>
        <v/>
      </c>
      <c r="O111" s="14">
</c>
      <c r="P111" s="10" cm="1" t="str">
        <f t="array" ref="P111">IF(C111="","",IF(OR(O111="",O111=0),"-",O111))</f>
        <v/>
      </c>
      <c r="Q111" s="15">
</c>
      <c r="R111" s="4" cm="1" t="str">
        <f t="array" ref="R111">IF(C111="","",ROUND(Q111/1000000,3)&amp;" M€")</f>
        <v/>
      </c>
      <c r="S111" s="16">
</c>
      <c r="T111" s="4" cm="1" t="str">
        <f t="array" ref="T111">IF(C111="","",SUBSTITUTE(S111,"","")&amp;"%")</f>
        <v/>
      </c>
      <c r="U111" s="4" cm="1" t="str">
        <f t="array" ref="U111">IF(($N111="")*($P111=""),"",IF(($N111&lt;&gt;"")*($N111&gt;TODAY()-9)*($N111&lt;TODAY()+1)*($P111&lt;&gt;"")*($P111&gt;=TODAY())*($P111&lt;=TODAY()+13),"Semaine passée &amp; à venir",IF(($N111&lt;&gt;"")*($N111&gt;TODAY()-9)*($N111&lt;TODAY()+1),"Semaine passée",IF(($P111&lt;&gt;"")*($P111&gt;=TODAY())*($P111&lt;=TODAY()+13),"À venir","Autre"))))</f>
        <v/>
      </c>
      <c r="V111" cm="1" t="n">
        <f t="array" ref="V111">IF(C111&lt;&gt;"",1,0)</f>
        <v>0</v>
      </c>
    </row>
    <row r="112" ht="78.75" customHeight="1">
      <c r="A112">
</c>
      <c r="B112">
</c>
      <c r="C112" s="13">
</c>
      <c r="D112" s="13">
</c>
      <c r="E112">
</c>
      <c r="F112">
</c>
      <c r="G112" s="9" cm="1" t="str">
        <f t="array" ref="G112">IF(F112="","",SUBSTITUTE(SUBSTITUTE(SUBSTITUTE(SUBSTITUTE(F112,"&lt;li&gt;",CHAR(10)),"&lt;/li&gt;",""),"&lt;br&gt;",CHAR(10)),"&lt;strong&gt;",""))</f>
        <v/>
      </c>
      <c r="H112" s="9" cm="1" t="str">
        <f t="array" ref="H112">IF(G112="","",SUBSTITUTE(SUBSTITUTE(SUBSTITUTE(SUBSTITUTE(SUBSTITUTE(G112,"&lt;p&gt;",""),"&lt;/p&gt;",""),"&lt;ul&gt;",""),"&lt;/ul&gt;",""),"&lt;/strong&gt;",""))</f>
        <v/>
      </c>
      <c r="I112" s="9" cm="1" t="str">
        <f t="array" ref="I112">IF(C112="","",IF(OR(H112="",H112=0,H112=FALSE),"-",H112))</f>
        <v/>
      </c>
      <c r="J112">
</c>
      <c r="K112">
</c>
      <c r="L112" s="4" cm="1" t="str">
        <f t="array" ref="L112">IF(C112="","",IF(K112="Mort / Plus rien à faire","KO","OK"))</f>
        <v/>
      </c>
      <c r="M112" s="14">
</c>
      <c r="N112" s="10" cm="1" t="str">
        <f t="array" ref="N112">IF(OR(C112="",M112="",M112=0),"",M112)</f>
        <v/>
      </c>
      <c r="O112" s="14">
</c>
      <c r="P112" s="10" cm="1" t="str">
        <f t="array" ref="P112">IF(C112="","",IF(OR(O112="",O112=0),"-",O112))</f>
        <v/>
      </c>
      <c r="Q112" s="15">
</c>
      <c r="R112" s="4" cm="1" t="str">
        <f t="array" ref="R112">IF(C112="","",ROUND(Q112/1000000,3)&amp;" M€")</f>
        <v/>
      </c>
      <c r="S112" s="16">
</c>
      <c r="T112" s="4" cm="1" t="str">
        <f t="array" ref="T112">IF(C112="","",SUBSTITUTE(S112,"","")&amp;"%")</f>
        <v/>
      </c>
      <c r="U112" s="4" cm="1" t="str">
        <f t="array" ref="U112">IF(($N112="")*($P112=""),"",IF(($N112&lt;&gt;"")*($N112&gt;TODAY()-9)*($N112&lt;TODAY()+1)*($P112&lt;&gt;"")*($P112&gt;=TODAY())*($P112&lt;=TODAY()+13),"Semaine passée &amp; à venir",IF(($N112&lt;&gt;"")*($N112&gt;TODAY()-9)*($N112&lt;TODAY()+1),"Semaine passée",IF(($P112&lt;&gt;"")*($P112&gt;=TODAY())*($P112&lt;=TODAY()+13),"À venir","Autre"))))</f>
        <v/>
      </c>
      <c r="V112" cm="1" t="n">
        <f t="array" ref="V112">IF(C112&lt;&gt;"",1,0)</f>
        <v>0</v>
      </c>
    </row>
    <row r="113" ht="78.75" customHeight="1">
      <c r="A113">
</c>
      <c r="B113">
</c>
      <c r="C113" s="13">
</c>
      <c r="D113" s="13">
</c>
      <c r="E113">
</c>
      <c r="F113">
</c>
      <c r="G113" s="9" cm="1" t="str">
        <f t="array" ref="G113">IF(F113="","",SUBSTITUTE(SUBSTITUTE(SUBSTITUTE(SUBSTITUTE(F113,"&lt;li&gt;",CHAR(10)),"&lt;/li&gt;",""),"&lt;br&gt;",CHAR(10)),"&lt;strong&gt;",""))</f>
        <v/>
      </c>
      <c r="H113" s="9" cm="1" t="str">
        <f t="array" ref="H113">IF(G113="","",SUBSTITUTE(SUBSTITUTE(SUBSTITUTE(SUBSTITUTE(SUBSTITUTE(G113,"&lt;p&gt;",""),"&lt;/p&gt;",""),"&lt;ul&gt;",""),"&lt;/ul&gt;",""),"&lt;/strong&gt;",""))</f>
        <v/>
      </c>
      <c r="I113" s="9" cm="1" t="str">
        <f t="array" ref="I113">IF(C113="","",IF(OR(H113="",H113=0,H113=FALSE),"-",H113))</f>
        <v/>
      </c>
      <c r="J113">
</c>
      <c r="K113">
</c>
      <c r="L113" s="4" cm="1" t="str">
        <f t="array" ref="L113">IF(C113="","",IF(K113="Mort / Plus rien à faire","KO","OK"))</f>
        <v/>
      </c>
      <c r="M113" s="14">
</c>
      <c r="N113" s="10" cm="1" t="str">
        <f t="array" ref="N113">IF(OR(C113="",M113="",M113=0),"",M113)</f>
        <v/>
      </c>
      <c r="O113" s="14">
</c>
      <c r="P113" s="10" cm="1" t="str">
        <f t="array" ref="P113">IF(C113="","",IF(OR(O113="",O113=0),"-",O113))</f>
        <v/>
      </c>
      <c r="Q113" s="15">
</c>
      <c r="R113" s="4" cm="1" t="str">
        <f t="array" ref="R113">IF(C113="","",ROUND(Q113/1000000,3)&amp;" M€")</f>
        <v/>
      </c>
      <c r="S113" s="16">
</c>
      <c r="T113" s="4" cm="1" t="str">
        <f t="array" ref="T113">IF(C113="","",SUBSTITUTE(S113,"","")&amp;"%")</f>
        <v/>
      </c>
      <c r="U113" s="4" cm="1" t="str">
        <f t="array" ref="U113">IF(($N113="")*($P113=""),"",IF(($N113&lt;&gt;"")*($N113&gt;TODAY()-9)*($N113&lt;TODAY()+1)*($P113&lt;&gt;"")*($P113&gt;=TODAY())*($P113&lt;=TODAY()+13),"Semaine passée &amp; à venir",IF(($N113&lt;&gt;"")*($N113&gt;TODAY()-9)*($N113&lt;TODAY()+1),"Semaine passée",IF(($P113&lt;&gt;"")*($P113&gt;=TODAY())*($P113&lt;=TODAY()+13),"À venir","Autre"))))</f>
        <v/>
      </c>
      <c r="V113" cm="1" t="n">
        <f t="array" ref="V113">IF(C113&lt;&gt;"",1,0)</f>
        <v>0</v>
      </c>
    </row>
    <row r="114" ht="78.75" customHeight="1">
      <c r="A114">
</c>
      <c r="B114">
</c>
      <c r="C114" s="13">
</c>
      <c r="D114" s="13">
</c>
      <c r="E114">
</c>
      <c r="F114">
</c>
      <c r="G114" s="9" cm="1" t="str">
        <f t="array" ref="G114">IF(F114="","",SUBSTITUTE(SUBSTITUTE(SUBSTITUTE(SUBSTITUTE(F114,"&lt;li&gt;",CHAR(10)),"&lt;/li&gt;",""),"&lt;br&gt;",CHAR(10)),"&lt;strong&gt;",""))</f>
        <v/>
      </c>
      <c r="H114" s="9" cm="1" t="str">
        <f t="array" ref="H114">IF(G114="","",SUBSTITUTE(SUBSTITUTE(SUBSTITUTE(SUBSTITUTE(SUBSTITUTE(G114,"&lt;p&gt;",""),"&lt;/p&gt;",""),"&lt;ul&gt;",""),"&lt;/ul&gt;",""),"&lt;/strong&gt;",""))</f>
        <v/>
      </c>
      <c r="I114" s="9" cm="1" t="str">
        <f t="array" ref="I114">IF(C114="","",IF(OR(H114="",H114=0,H114=FALSE),"-",H114))</f>
        <v/>
      </c>
      <c r="J114">
</c>
      <c r="K114">
</c>
      <c r="L114" s="4" cm="1" t="str">
        <f t="array" ref="L114">IF(C114="","",IF(K114="Mort / Plus rien à faire","KO","OK"))</f>
        <v/>
      </c>
      <c r="M114" s="14">
</c>
      <c r="N114" s="10" cm="1" t="str">
        <f t="array" ref="N114">IF(OR(C114="",M114="",M114=0),"",M114)</f>
        <v/>
      </c>
      <c r="O114" s="14">
</c>
      <c r="P114" s="10" cm="1" t="str">
        <f t="array" ref="P114">IF(C114="","",IF(OR(O114="",O114=0),"-",O114))</f>
        <v/>
      </c>
      <c r="Q114" s="15">
</c>
      <c r="R114" s="4" cm="1" t="str">
        <f t="array" ref="R114">IF(C114="","",ROUND(Q114/1000000,3)&amp;" M€")</f>
        <v/>
      </c>
      <c r="S114" s="16">
</c>
      <c r="T114" s="4" cm="1" t="str">
        <f t="array" ref="T114">IF(C114="","",SUBSTITUTE(S114,"","")&amp;"%")</f>
        <v/>
      </c>
      <c r="U114" s="4" cm="1" t="str">
        <f t="array" ref="U114">IF(($N114="")*($P114=""),"",IF(($N114&lt;&gt;"")*($N114&gt;TODAY()-9)*($N114&lt;TODAY()+1)*($P114&lt;&gt;"")*($P114&gt;=TODAY())*($P114&lt;=TODAY()+13),"Semaine passée &amp; à venir",IF(($N114&lt;&gt;"")*($N114&gt;TODAY()-9)*($N114&lt;TODAY()+1),"Semaine passée",IF(($P114&lt;&gt;"")*($P114&gt;=TODAY())*($P114&lt;=TODAY()+13),"À venir","Autre"))))</f>
        <v/>
      </c>
      <c r="V114" cm="1" t="n">
        <f t="array" ref="V114">IF(C114&lt;&gt;"",1,0)</f>
        <v>0</v>
      </c>
    </row>
    <row r="115" ht="78.75" customHeight="1">
      <c r="A115">
</c>
      <c r="B115">
</c>
      <c r="C115" s="13">
</c>
      <c r="D115" s="13">
</c>
      <c r="E115">
</c>
      <c r="F115">
</c>
      <c r="G115" s="9" cm="1" t="str">
        <f t="array" ref="G115">IF(F115="","",SUBSTITUTE(SUBSTITUTE(SUBSTITUTE(SUBSTITUTE(F115,"&lt;li&gt;",CHAR(10)),"&lt;/li&gt;",""),"&lt;br&gt;",CHAR(10)),"&lt;strong&gt;",""))</f>
        <v/>
      </c>
      <c r="H115" s="9" cm="1" t="str">
        <f t="array" ref="H115">IF(G115="","",SUBSTITUTE(SUBSTITUTE(SUBSTITUTE(SUBSTITUTE(SUBSTITUTE(G115,"&lt;p&gt;",""),"&lt;/p&gt;",""),"&lt;ul&gt;",""),"&lt;/ul&gt;",""),"&lt;/strong&gt;",""))</f>
        <v/>
      </c>
      <c r="I115" s="9" cm="1" t="str">
        <f t="array" ref="I115">IF(C115="","",IF(OR(H115="",H115=0,H115=FALSE),"-",H115))</f>
        <v/>
      </c>
      <c r="J115">
</c>
      <c r="K115">
</c>
      <c r="L115" s="4" cm="1" t="str">
        <f t="array" ref="L115">IF(C115="","",IF(K115="Mort / Plus rien à faire","KO","OK"))</f>
        <v/>
      </c>
      <c r="M115" s="14">
</c>
      <c r="N115" s="10" cm="1" t="str">
        <f t="array" ref="N115">IF(OR(C115="",M115="",M115=0),"",M115)</f>
        <v/>
      </c>
      <c r="O115" s="14">
</c>
      <c r="P115" s="10" cm="1" t="str">
        <f t="array" ref="P115">IF(C115="","",IF(OR(O115="",O115=0),"-",O115))</f>
        <v/>
      </c>
      <c r="Q115" s="15">
</c>
      <c r="R115" s="4" cm="1" t="str">
        <f t="array" ref="R115">IF(C115="","",ROUND(Q115/1000000,3)&amp;" M€")</f>
        <v/>
      </c>
      <c r="S115" s="16">
</c>
      <c r="T115" s="4" cm="1" t="str">
        <f t="array" ref="T115">IF(C115="","",SUBSTITUTE(S115,"","")&amp;"%")</f>
        <v/>
      </c>
      <c r="U115" s="4" cm="1" t="str">
        <f t="array" ref="U115">IF(($N115="")*($P115=""),"",IF(($N115&lt;&gt;"")*($N115&gt;TODAY()-9)*($N115&lt;TODAY()+1)*($P115&lt;&gt;"")*($P115&gt;=TODAY())*($P115&lt;=TODAY()+13),"Semaine passée &amp; à venir",IF(($N115&lt;&gt;"")*($N115&gt;TODAY()-9)*($N115&lt;TODAY()+1),"Semaine passée",IF(($P115&lt;&gt;"")*($P115&gt;=TODAY())*($P115&lt;=TODAY()+13),"À venir","Autre"))))</f>
        <v/>
      </c>
      <c r="V115" cm="1" t="n">
        <f t="array" ref="V115">IF(C115&lt;&gt;"",1,0)</f>
        <v>0</v>
      </c>
    </row>
    <row r="116" ht="78.75" customHeight="1">
      <c r="A116">
</c>
      <c r="B116">
</c>
      <c r="C116" s="13">
</c>
      <c r="D116" s="13">
</c>
      <c r="E116">
</c>
      <c r="F116">
</c>
      <c r="G116" s="9" cm="1" t="str">
        <f t="array" ref="G116">IF(F116="","",SUBSTITUTE(SUBSTITUTE(SUBSTITUTE(SUBSTITUTE(F116,"&lt;li&gt;",CHAR(10)),"&lt;/li&gt;",""),"&lt;br&gt;",CHAR(10)),"&lt;strong&gt;",""))</f>
        <v/>
      </c>
      <c r="H116" s="9" cm="1" t="str">
        <f t="array" ref="H116">IF(G116="","",SUBSTITUTE(SUBSTITUTE(SUBSTITUTE(SUBSTITUTE(SUBSTITUTE(G116,"&lt;p&gt;",""),"&lt;/p&gt;",""),"&lt;ul&gt;",""),"&lt;/ul&gt;",""),"&lt;/strong&gt;",""))</f>
        <v/>
      </c>
      <c r="I116" s="9" cm="1" t="str">
        <f t="array" ref="I116">IF(C116="","",IF(OR(H116="",H116=0,H116=FALSE),"-",H116))</f>
        <v/>
      </c>
      <c r="J116">
</c>
      <c r="K116">
</c>
      <c r="L116" s="4" cm="1" t="str">
        <f t="array" ref="L116">IF(C116="","",IF(K116="Mort / Plus rien à faire","KO","OK"))</f>
        <v/>
      </c>
      <c r="M116" s="14">
</c>
      <c r="N116" s="10" cm="1" t="str">
        <f t="array" ref="N116">IF(OR(C116="",M116="",M116=0),"",M116)</f>
        <v/>
      </c>
      <c r="O116" s="14">
</c>
      <c r="P116" s="10" cm="1" t="str">
        <f t="array" ref="P116">IF(C116="","",IF(OR(O116="",O116=0),"-",O116))</f>
        <v/>
      </c>
      <c r="Q116" s="15">
</c>
      <c r="R116" s="4" cm="1" t="str">
        <f t="array" ref="R116">IF(C116="","",ROUND(Q116/1000000,3)&amp;" M€")</f>
        <v/>
      </c>
      <c r="S116" s="16">
</c>
      <c r="T116" s="4" cm="1" t="str">
        <f t="array" ref="T116">IF(C116="","",SUBSTITUTE(S116,"","")&amp;"%")</f>
        <v/>
      </c>
      <c r="U116" s="4" cm="1" t="str">
        <f t="array" ref="U116">IF(($N116="")*($P116=""),"",IF(($N116&lt;&gt;"")*($N116&gt;TODAY()-9)*($N116&lt;TODAY()+1)*($P116&lt;&gt;"")*($P116&gt;=TODAY())*($P116&lt;=TODAY()+13),"Semaine passée &amp; à venir",IF(($N116&lt;&gt;"")*($N116&gt;TODAY()-9)*($N116&lt;TODAY()+1),"Semaine passée",IF(($P116&lt;&gt;"")*($P116&gt;=TODAY())*($P116&lt;=TODAY()+13),"À venir","Autre"))))</f>
        <v/>
      </c>
      <c r="V116" cm="1" t="n">
        <f t="array" ref="V116">IF(C116&lt;&gt;"",1,0)</f>
        <v>0</v>
      </c>
    </row>
    <row r="117" ht="78.75" customHeight="1">
      <c r="A117">
</c>
      <c r="B117">
</c>
      <c r="C117" s="13">
</c>
      <c r="D117" s="13">
</c>
      <c r="E117">
</c>
      <c r="F117">
</c>
      <c r="G117" s="9" cm="1" t="str">
        <f t="array" ref="G117">IF(F117="","",SUBSTITUTE(SUBSTITUTE(SUBSTITUTE(SUBSTITUTE(F117,"&lt;li&gt;",CHAR(10)),"&lt;/li&gt;",""),"&lt;br&gt;",CHAR(10)),"&lt;strong&gt;",""))</f>
        <v/>
      </c>
      <c r="H117" s="9" cm="1" t="str">
        <f t="array" ref="H117">IF(G117="","",SUBSTITUTE(SUBSTITUTE(SUBSTITUTE(SUBSTITUTE(SUBSTITUTE(G117,"&lt;p&gt;",""),"&lt;/p&gt;",""),"&lt;ul&gt;",""),"&lt;/ul&gt;",""),"&lt;/strong&gt;",""))</f>
        <v/>
      </c>
      <c r="I117" s="9" cm="1" t="str">
        <f t="array" ref="I117">IF(C117="","",IF(OR(H117="",H117=0,H117=FALSE),"-",H117))</f>
        <v/>
      </c>
      <c r="J117">
</c>
      <c r="K117">
</c>
      <c r="L117" s="4" cm="1" t="str">
        <f t="array" ref="L117">IF(C117="","",IF(K117="Mort / Plus rien à faire","KO","OK"))</f>
        <v/>
      </c>
      <c r="M117" s="14">
</c>
      <c r="N117" s="10" cm="1" t="str">
        <f t="array" ref="N117">IF(OR(C117="",M117="",M117=0),"",M117)</f>
        <v/>
      </c>
      <c r="O117" s="14">
</c>
      <c r="P117" s="10" cm="1" t="str">
        <f t="array" ref="P117">IF(C117="","",IF(OR(O117="",O117=0),"-",O117))</f>
        <v/>
      </c>
      <c r="Q117" s="15">
</c>
      <c r="R117" s="4" cm="1" t="str">
        <f t="array" ref="R117">IF(C117="","",ROUND(Q117/1000000,3)&amp;" M€")</f>
        <v/>
      </c>
      <c r="S117" s="16">
</c>
      <c r="T117" s="4" cm="1" t="str">
        <f t="array" ref="T117">IF(C117="","",SUBSTITUTE(S117,"","")&amp;"%")</f>
        <v/>
      </c>
      <c r="U117" s="4" cm="1" t="str">
        <f t="array" ref="U117">IF(($N117="")*($P117=""),"",IF(($N117&lt;&gt;"")*($N117&gt;TODAY()-9)*($N117&lt;TODAY()+1)*($P117&lt;&gt;"")*($P117&gt;=TODAY())*($P117&lt;=TODAY()+13),"Semaine passée &amp; à venir",IF(($N117&lt;&gt;"")*($N117&gt;TODAY()-9)*($N117&lt;TODAY()+1),"Semaine passée",IF(($P117&lt;&gt;"")*($P117&gt;=TODAY())*($P117&lt;=TODAY()+13),"À venir","Autre"))))</f>
        <v/>
      </c>
      <c r="V117" cm="1" t="n">
        <f t="array" ref="V117">IF(C117&lt;&gt;"",1,0)</f>
        <v>0</v>
      </c>
    </row>
    <row r="118" ht="78.75" customHeight="1">
      <c r="A118">
</c>
      <c r="B118">
</c>
      <c r="C118" s="13">
</c>
      <c r="D118" s="13">
</c>
      <c r="E118">
</c>
      <c r="F118">
</c>
      <c r="G118" s="9" cm="1" t="str">
        <f t="array" ref="G118">IF(F118="","",SUBSTITUTE(SUBSTITUTE(SUBSTITUTE(SUBSTITUTE(F118,"&lt;li&gt;",CHAR(10)),"&lt;/li&gt;",""),"&lt;br&gt;",CHAR(10)),"&lt;strong&gt;",""))</f>
        <v/>
      </c>
      <c r="H118" s="9" cm="1" t="str">
        <f t="array" ref="H118">IF(G118="","",SUBSTITUTE(SUBSTITUTE(SUBSTITUTE(SUBSTITUTE(SUBSTITUTE(G118,"&lt;p&gt;",""),"&lt;/p&gt;",""),"&lt;ul&gt;",""),"&lt;/ul&gt;",""),"&lt;/strong&gt;",""))</f>
        <v/>
      </c>
      <c r="I118" s="9" cm="1" t="str">
        <f t="array" ref="I118">IF(C118="","",IF(OR(H118="",H118=0,H118=FALSE),"-",H118))</f>
        <v/>
      </c>
      <c r="J118">
</c>
      <c r="K118">
</c>
      <c r="L118" s="4" cm="1" t="str">
        <f t="array" ref="L118">IF(C118="","",IF(K118="Mort / Plus rien à faire","KO","OK"))</f>
        <v/>
      </c>
      <c r="M118" s="14">
</c>
      <c r="N118" s="10" cm="1" t="str">
        <f t="array" ref="N118">IF(OR(C118="",M118="",M118=0),"",M118)</f>
        <v/>
      </c>
      <c r="O118" s="14">
</c>
      <c r="P118" s="10" cm="1" t="str">
        <f t="array" ref="P118">IF(C118="","",IF(OR(O118="",O118=0),"-",O118))</f>
        <v/>
      </c>
      <c r="Q118" s="15">
</c>
      <c r="R118" s="4" cm="1" t="str">
        <f t="array" ref="R118">IF(C118="","",ROUND(Q118/1000000,3)&amp;" M€")</f>
        <v/>
      </c>
      <c r="S118" s="16">
</c>
      <c r="T118" s="4" cm="1" t="str">
        <f t="array" ref="T118">IF(C118="","",SUBSTITUTE(S118,"","")&amp;"%")</f>
        <v/>
      </c>
      <c r="U118" s="4" cm="1" t="str">
        <f t="array" ref="U118">IF(($N118="")*($P118=""),"",IF(($N118&lt;&gt;"")*($N118&gt;TODAY()-9)*($N118&lt;TODAY()+1)*($P118&lt;&gt;"")*($P118&gt;=TODAY())*($P118&lt;=TODAY()+13),"Semaine passée &amp; à venir",IF(($N118&lt;&gt;"")*($N118&gt;TODAY()-9)*($N118&lt;TODAY()+1),"Semaine passée",IF(($P118&lt;&gt;"")*($P118&gt;=TODAY())*($P118&lt;=TODAY()+13),"À venir","Autre"))))</f>
        <v/>
      </c>
      <c r="V118" cm="1" t="n">
        <f t="array" ref="V118">IF(C118&lt;&gt;"",1,0)</f>
        <v>0</v>
      </c>
    </row>
    <row r="119" ht="78.75" customHeight="1">
      <c r="A119">
</c>
      <c r="B119">
</c>
      <c r="C119" s="13">
</c>
      <c r="D119" s="13">
</c>
      <c r="E119">
</c>
      <c r="F119">
</c>
      <c r="G119" s="9" cm="1" t="str">
        <f t="array" ref="G119">IF(F119="","",SUBSTITUTE(SUBSTITUTE(SUBSTITUTE(SUBSTITUTE(F119,"&lt;li&gt;",CHAR(10)),"&lt;/li&gt;",""),"&lt;br&gt;",CHAR(10)),"&lt;strong&gt;",""))</f>
        <v/>
      </c>
      <c r="H119" s="9" cm="1" t="str">
        <f t="array" ref="H119">IF(G119="","",SUBSTITUTE(SUBSTITUTE(SUBSTITUTE(SUBSTITUTE(SUBSTITUTE(G119,"&lt;p&gt;",""),"&lt;/p&gt;",""),"&lt;ul&gt;",""),"&lt;/ul&gt;",""),"&lt;/strong&gt;",""))</f>
        <v/>
      </c>
      <c r="I119" s="9" cm="1" t="str">
        <f t="array" ref="I119">IF(C119="","",IF(OR(H119="",H119=0,H119=FALSE),"-",H119))</f>
        <v/>
      </c>
      <c r="J119">
</c>
      <c r="K119">
</c>
      <c r="L119" s="4" cm="1" t="str">
        <f t="array" ref="L119">IF(C119="","",IF(K119="Mort / Plus rien à faire","KO","OK"))</f>
        <v/>
      </c>
      <c r="M119" s="14">
</c>
      <c r="N119" s="10" cm="1" t="str">
        <f t="array" ref="N119">IF(OR(C119="",M119="",M119=0),"",M119)</f>
        <v/>
      </c>
      <c r="O119" s="14">
</c>
      <c r="P119" s="10" cm="1" t="str">
        <f t="array" ref="P119">IF(C119="","",IF(OR(O119="",O119=0),"-",O119))</f>
        <v/>
      </c>
      <c r="Q119" s="15">
</c>
      <c r="R119" s="4" cm="1" t="str">
        <f t="array" ref="R119">IF(C119="","",ROUND(Q119/1000000,3)&amp;" M€")</f>
        <v/>
      </c>
      <c r="S119" s="16">
</c>
      <c r="T119" s="4" cm="1" t="str">
        <f t="array" ref="T119">IF(C119="","",SUBSTITUTE(S119,"","")&amp;"%")</f>
        <v/>
      </c>
      <c r="U119" s="4" cm="1" t="str">
        <f t="array" ref="U119">IF(($N119="")*($P119=""),"",IF(($N119&lt;&gt;"")*($N119&gt;TODAY()-9)*($N119&lt;TODAY()+1)*($P119&lt;&gt;"")*($P119&gt;=TODAY())*($P119&lt;=TODAY()+13),"Semaine passée &amp; à venir",IF(($N119&lt;&gt;"")*($N119&gt;TODAY()-9)*($N119&lt;TODAY()+1),"Semaine passée",IF(($P119&lt;&gt;"")*($P119&gt;=TODAY())*($P119&lt;=TODAY()+13),"À venir","Autre"))))</f>
        <v/>
      </c>
      <c r="V119" cm="1" t="n">
        <f t="array" ref="V119">IF(C119&lt;&gt;"",1,0)</f>
        <v>0</v>
      </c>
    </row>
    <row r="120" ht="78.75" customHeight="1">
      <c r="A120">
</c>
      <c r="B120">
</c>
      <c r="C120" s="13">
</c>
      <c r="D120" s="13">
</c>
      <c r="E120">
</c>
      <c r="F120">
</c>
      <c r="G120" s="9" cm="1" t="str">
        <f t="array" ref="G120">IF(F120="","",SUBSTITUTE(SUBSTITUTE(SUBSTITUTE(SUBSTITUTE(F120,"&lt;li&gt;",CHAR(10)),"&lt;/li&gt;",""),"&lt;br&gt;",CHAR(10)),"&lt;strong&gt;",""))</f>
        <v/>
      </c>
      <c r="H120" s="9" cm="1" t="str">
        <f t="array" ref="H120">IF(G120="","",SUBSTITUTE(SUBSTITUTE(SUBSTITUTE(SUBSTITUTE(SUBSTITUTE(G120,"&lt;p&gt;",""),"&lt;/p&gt;",""),"&lt;ul&gt;",""),"&lt;/ul&gt;",""),"&lt;/strong&gt;",""))</f>
        <v/>
      </c>
      <c r="I120" s="9" cm="1" t="str">
        <f t="array" ref="I120">IF(C120="","",IF(OR(H120="",H120=0,H120=FALSE),"-",H120))</f>
        <v/>
      </c>
      <c r="J120">
</c>
      <c r="K120">
</c>
      <c r="L120" s="4" cm="1" t="str">
        <f t="array" ref="L120">IF(C120="","",IF(K120="Mort / Plus rien à faire","KO","OK"))</f>
        <v/>
      </c>
      <c r="M120" s="14">
</c>
      <c r="N120" s="10" cm="1" t="str">
        <f t="array" ref="N120">IF(OR(C120="",M120="",M120=0),"",M120)</f>
        <v/>
      </c>
      <c r="O120" s="14">
</c>
      <c r="P120" s="10" cm="1" t="str">
        <f t="array" ref="P120">IF(C120="","",IF(OR(O120="",O120=0),"-",O120))</f>
        <v/>
      </c>
      <c r="Q120" s="15">
</c>
      <c r="R120" s="4" cm="1" t="str">
        <f t="array" ref="R120">IF(C120="","",ROUND(Q120/1000000,3)&amp;" M€")</f>
        <v/>
      </c>
      <c r="S120" s="16">
</c>
      <c r="T120" s="4" cm="1" t="str">
        <f t="array" ref="T120">IF(C120="","",SUBSTITUTE(S120,"","")&amp;"%")</f>
        <v/>
      </c>
      <c r="U120" s="4" cm="1" t="str">
        <f t="array" ref="U120">IF(($N120="")*($P120=""),"",IF(($N120&lt;&gt;"")*($N120&gt;TODAY()-9)*($N120&lt;TODAY()+1)*($P120&lt;&gt;"")*($P120&gt;=TODAY())*($P120&lt;=TODAY()+13),"Semaine passée &amp; à venir",IF(($N120&lt;&gt;"")*($N120&gt;TODAY()-9)*($N120&lt;TODAY()+1),"Semaine passée",IF(($P120&lt;&gt;"")*($P120&gt;=TODAY())*($P120&lt;=TODAY()+13),"À venir","Autre"))))</f>
        <v/>
      </c>
      <c r="V120" cm="1" t="n">
        <f t="array" ref="V120">IF(C120&lt;&gt;"",1,0)</f>
        <v>0</v>
      </c>
    </row>
    <row r="121" ht="78.75" customHeight="1">
      <c r="A121">
</c>
      <c r="B121">
</c>
      <c r="C121" s="13">
</c>
      <c r="D121" s="13">
</c>
      <c r="E121">
</c>
      <c r="F121">
</c>
      <c r="G121" s="9" cm="1" t="str">
        <f t="array" ref="G121">IF(F121="","",SUBSTITUTE(SUBSTITUTE(SUBSTITUTE(SUBSTITUTE(F121,"&lt;li&gt;",CHAR(10)),"&lt;/li&gt;",""),"&lt;br&gt;",CHAR(10)),"&lt;strong&gt;",""))</f>
        <v/>
      </c>
      <c r="H121" s="9" cm="1" t="str">
        <f t="array" ref="H121">IF(G121="","",SUBSTITUTE(SUBSTITUTE(SUBSTITUTE(SUBSTITUTE(SUBSTITUTE(G121,"&lt;p&gt;",""),"&lt;/p&gt;",""),"&lt;ul&gt;",""),"&lt;/ul&gt;",""),"&lt;/strong&gt;",""))</f>
        <v/>
      </c>
      <c r="I121" s="9" cm="1" t="str">
        <f t="array" ref="I121">IF(C121="","",IF(OR(H121="",H121=0,H121=FALSE),"-",H121))</f>
        <v/>
      </c>
      <c r="J121">
</c>
      <c r="K121">
</c>
      <c r="L121" s="4" cm="1" t="str">
        <f t="array" ref="L121">IF(C121="","",IF(K121="Mort / Plus rien à faire","KO","OK"))</f>
        <v/>
      </c>
      <c r="M121" s="14">
</c>
      <c r="N121" s="10" cm="1" t="str">
        <f t="array" ref="N121">IF(OR(C121="",M121="",M121=0),"",M121)</f>
        <v/>
      </c>
      <c r="O121" s="14">
</c>
      <c r="P121" s="10" cm="1" t="str">
        <f t="array" ref="P121">IF(C121="","",IF(OR(O121="",O121=0),"-",O121))</f>
        <v/>
      </c>
      <c r="Q121" s="15">
</c>
      <c r="R121" s="4" cm="1" t="str">
        <f t="array" ref="R121">IF(C121="","",ROUND(Q121/1000000,3)&amp;" M€")</f>
        <v/>
      </c>
      <c r="S121" s="16">
</c>
      <c r="T121" s="4" cm="1" t="str">
        <f t="array" ref="T121">IF(C121="","",SUBSTITUTE(S121,"","")&amp;"%")</f>
        <v/>
      </c>
      <c r="U121" s="4" cm="1" t="str">
        <f t="array" ref="U121">IF(($N121="")*($P121=""),"",IF(($N121&lt;&gt;"")*($N121&gt;TODAY()-9)*($N121&lt;TODAY()+1)*($P121&lt;&gt;"")*($P121&gt;=TODAY())*($P121&lt;=TODAY()+13),"Semaine passée &amp; à venir",IF(($N121&lt;&gt;"")*($N121&gt;TODAY()-9)*($N121&lt;TODAY()+1),"Semaine passée",IF(($P121&lt;&gt;"")*($P121&gt;=TODAY())*($P121&lt;=TODAY()+13),"À venir","Autre"))))</f>
        <v/>
      </c>
      <c r="V121" cm="1" t="n">
        <f t="array" ref="V121">IF(C121&lt;&gt;"",1,0)</f>
        <v>0</v>
      </c>
    </row>
    <row r="122" ht="78.75" customHeight="1">
      <c r="A122">
</c>
      <c r="B122">
</c>
      <c r="C122" s="13">
</c>
      <c r="D122" s="13">
</c>
      <c r="E122">
</c>
      <c r="F122">
</c>
      <c r="G122" s="9" cm="1" t="str">
        <f t="array" ref="G122">IF(F122="","",SUBSTITUTE(SUBSTITUTE(SUBSTITUTE(SUBSTITUTE(F122,"&lt;li&gt;",CHAR(10)),"&lt;/li&gt;",""),"&lt;br&gt;",CHAR(10)),"&lt;strong&gt;",""))</f>
        <v/>
      </c>
      <c r="H122" s="9" cm="1" t="str">
        <f t="array" ref="H122">IF(G122="","",SUBSTITUTE(SUBSTITUTE(SUBSTITUTE(SUBSTITUTE(SUBSTITUTE(G122,"&lt;p&gt;",""),"&lt;/p&gt;",""),"&lt;ul&gt;",""),"&lt;/ul&gt;",""),"&lt;/strong&gt;",""))</f>
        <v/>
      </c>
      <c r="I122" s="9" cm="1" t="str">
        <f t="array" ref="I122">IF(C122="","",IF(OR(H122="",H122=0,H122=FALSE),"-",H122))</f>
        <v/>
      </c>
      <c r="J122">
</c>
      <c r="K122">
</c>
      <c r="L122" s="4" cm="1" t="str">
        <f t="array" ref="L122">IF(C122="","",IF(K122="Mort / Plus rien à faire","KO","OK"))</f>
        <v/>
      </c>
      <c r="M122" s="14">
</c>
      <c r="N122" s="10" cm="1" t="str">
        <f t="array" ref="N122">IF(OR(C122="",M122="",M122=0),"",M122)</f>
        <v/>
      </c>
      <c r="O122" s="14">
</c>
      <c r="P122" s="10" cm="1" t="str">
        <f t="array" ref="P122">IF(C122="","",IF(OR(O122="",O122=0),"-",O122))</f>
        <v/>
      </c>
      <c r="Q122" s="15">
</c>
      <c r="R122" s="4" cm="1" t="str">
        <f t="array" ref="R122">IF(C122="","",ROUND(Q122/1000000,3)&amp;" M€")</f>
        <v/>
      </c>
      <c r="S122" s="16">
</c>
      <c r="T122" s="4" cm="1" t="str">
        <f t="array" ref="T122">IF(C122="","",SUBSTITUTE(S122,"","")&amp;"%")</f>
        <v/>
      </c>
      <c r="U122" s="4" cm="1" t="str">
        <f t="array" ref="U122">IF(($N122="")*($P122=""),"",IF(($N122&lt;&gt;"")*($N122&gt;TODAY()-9)*($N122&lt;TODAY()+1)*($P122&lt;&gt;"")*($P122&gt;=TODAY())*($P122&lt;=TODAY()+13),"Semaine passée &amp; à venir",IF(($N122&lt;&gt;"")*($N122&gt;TODAY()-9)*($N122&lt;TODAY()+1),"Semaine passée",IF(($P122&lt;&gt;"")*($P122&gt;=TODAY())*($P122&lt;=TODAY()+13),"À venir","Autre"))))</f>
        <v/>
      </c>
      <c r="V122" cm="1" t="n">
        <f t="array" ref="V122">IF(C122&lt;&gt;"",1,0)</f>
        <v>0</v>
      </c>
    </row>
    <row r="123" ht="78.75" customHeight="1">
      <c r="A123">
</c>
      <c r="B123">
</c>
      <c r="C123" s="13">
</c>
      <c r="D123" s="13">
</c>
      <c r="E123">
</c>
      <c r="F123">
</c>
      <c r="G123" s="9" cm="1" t="str">
        <f t="array" ref="G123">IF(F123="","",SUBSTITUTE(SUBSTITUTE(SUBSTITUTE(SUBSTITUTE(F123,"&lt;li&gt;",CHAR(10)),"&lt;/li&gt;",""),"&lt;br&gt;",CHAR(10)),"&lt;strong&gt;",""))</f>
        <v/>
      </c>
      <c r="H123" s="9" cm="1" t="str">
        <f t="array" ref="H123">IF(G123="","",SUBSTITUTE(SUBSTITUTE(SUBSTITUTE(SUBSTITUTE(SUBSTITUTE(G123,"&lt;p&gt;",""),"&lt;/p&gt;",""),"&lt;ul&gt;",""),"&lt;/ul&gt;",""),"&lt;/strong&gt;",""))</f>
        <v/>
      </c>
      <c r="I123" s="9" cm="1" t="str">
        <f t="array" ref="I123">IF(C123="","",IF(OR(H123="",H123=0,H123=FALSE),"-",H123))</f>
        <v/>
      </c>
      <c r="J123">
</c>
      <c r="K123">
</c>
      <c r="L123" s="4" cm="1" t="str">
        <f t="array" ref="L123">IF(C123="","",IF(K123="Mort / Plus rien à faire","KO","OK"))</f>
        <v/>
      </c>
      <c r="M123" s="14">
</c>
      <c r="N123" s="10" cm="1" t="str">
        <f t="array" ref="N123">IF(OR(C123="",M123="",M123=0),"",M123)</f>
        <v/>
      </c>
      <c r="O123" s="14">
</c>
      <c r="P123" s="10" cm="1" t="str">
        <f t="array" ref="P123">IF(C123="","",IF(OR(O123="",O123=0),"-",O123))</f>
        <v/>
      </c>
      <c r="Q123" s="15">
</c>
      <c r="R123" s="4" cm="1" t="str">
        <f t="array" ref="R123">IF(C123="","",ROUND(Q123/1000000,3)&amp;" M€")</f>
        <v/>
      </c>
      <c r="S123" s="16">
</c>
      <c r="T123" s="4" cm="1" t="str">
        <f t="array" ref="T123">IF(C123="","",SUBSTITUTE(S123,"","")&amp;"%")</f>
        <v/>
      </c>
      <c r="U123" s="4" cm="1" t="str">
        <f t="array" ref="U123">IF(($N123="")*($P123=""),"",IF(($N123&lt;&gt;"")*($N123&gt;TODAY()-9)*($N123&lt;TODAY()+1)*($P123&lt;&gt;"")*($P123&gt;=TODAY())*($P123&lt;=TODAY()+13),"Semaine passée &amp; à venir",IF(($N123&lt;&gt;"")*($N123&gt;TODAY()-9)*($N123&lt;TODAY()+1),"Semaine passée",IF(($P123&lt;&gt;"")*($P123&gt;=TODAY())*($P123&lt;=TODAY()+13),"À venir","Autre"))))</f>
        <v/>
      </c>
      <c r="V123" cm="1" t="n">
        <f t="array" ref="V123">IF(C123&lt;&gt;"",1,0)</f>
        <v>0</v>
      </c>
    </row>
    <row r="124" ht="78.75" customHeight="1">
      <c r="A124">
</c>
      <c r="B124">
</c>
      <c r="C124" s="13">
</c>
      <c r="D124" s="13">
</c>
      <c r="E124">
</c>
      <c r="F124">
</c>
      <c r="G124" s="9" cm="1" t="str">
        <f t="array" ref="G124">IF(F124="","",SUBSTITUTE(SUBSTITUTE(SUBSTITUTE(SUBSTITUTE(F124,"&lt;li&gt;",CHAR(10)),"&lt;/li&gt;",""),"&lt;br&gt;",CHAR(10)),"&lt;strong&gt;",""))</f>
        <v/>
      </c>
      <c r="H124" s="9" cm="1" t="str">
        <f t="array" ref="H124">IF(G124="","",SUBSTITUTE(SUBSTITUTE(SUBSTITUTE(SUBSTITUTE(SUBSTITUTE(G124,"&lt;p&gt;",""),"&lt;/p&gt;",""),"&lt;ul&gt;",""),"&lt;/ul&gt;",""),"&lt;/strong&gt;",""))</f>
        <v/>
      </c>
      <c r="I124" s="9" cm="1" t="str">
        <f t="array" ref="I124">IF(C124="","",IF(OR(H124="",H124=0,H124=FALSE),"-",H124))</f>
        <v/>
      </c>
      <c r="J124">
</c>
      <c r="K124">
</c>
      <c r="L124" s="4" cm="1" t="str">
        <f t="array" ref="L124">IF(C124="","",IF(K124="Mort / Plus rien à faire","KO","OK"))</f>
        <v/>
      </c>
      <c r="M124" s="14">
</c>
      <c r="N124" s="10" cm="1" t="str">
        <f t="array" ref="N124">IF(OR(C124="",M124="",M124=0),"",M124)</f>
        <v/>
      </c>
      <c r="O124" s="14">
</c>
      <c r="P124" s="10" cm="1" t="str">
        <f t="array" ref="P124">IF(C124="","",IF(OR(O124="",O124=0),"-",O124))</f>
        <v/>
      </c>
      <c r="Q124" s="15">
</c>
      <c r="R124" s="4" cm="1" t="str">
        <f t="array" ref="R124">IF(C124="","",ROUND(Q124/1000000,3)&amp;" M€")</f>
        <v/>
      </c>
      <c r="S124" s="16">
</c>
      <c r="T124" s="4" cm="1" t="str">
        <f t="array" ref="T124">IF(C124="","",SUBSTITUTE(S124,"","")&amp;"%")</f>
        <v/>
      </c>
      <c r="U124" s="4" cm="1" t="str">
        <f t="array" ref="U124">IF(($N124="")*($P124=""),"",IF(($N124&lt;&gt;"")*($N124&gt;TODAY()-9)*($N124&lt;TODAY()+1)*($P124&lt;&gt;"")*($P124&gt;=TODAY())*($P124&lt;=TODAY()+13),"Semaine passée &amp; à venir",IF(($N124&lt;&gt;"")*($N124&gt;TODAY()-9)*($N124&lt;TODAY()+1),"Semaine passée",IF(($P124&lt;&gt;"")*($P124&gt;=TODAY())*($P124&lt;=TODAY()+13),"À venir","Autre"))))</f>
        <v/>
      </c>
      <c r="V124" cm="1" t="n">
        <f t="array" ref="V124">IF(C124&lt;&gt;"",1,0)</f>
        <v>0</v>
      </c>
    </row>
    <row r="125" ht="78.75" customHeight="1">
      <c r="A125">
</c>
      <c r="B125">
</c>
      <c r="C125" s="13">
</c>
      <c r="D125" s="13">
</c>
      <c r="E125">
</c>
      <c r="F125">
</c>
      <c r="G125" s="9" cm="1" t="str">
        <f t="array" ref="G125">IF(F125="","",SUBSTITUTE(SUBSTITUTE(SUBSTITUTE(SUBSTITUTE(F125,"&lt;li&gt;",CHAR(10)),"&lt;/li&gt;",""),"&lt;br&gt;",CHAR(10)),"&lt;strong&gt;",""))</f>
        <v/>
      </c>
      <c r="H125" s="9" cm="1" t="str">
        <f t="array" ref="H125">IF(G125="","",SUBSTITUTE(SUBSTITUTE(SUBSTITUTE(SUBSTITUTE(SUBSTITUTE(G125,"&lt;p&gt;",""),"&lt;/p&gt;",""),"&lt;ul&gt;",""),"&lt;/ul&gt;",""),"&lt;/strong&gt;",""))</f>
        <v/>
      </c>
      <c r="I125" s="9" cm="1" t="str">
        <f t="array" ref="I125">IF(C125="","",IF(OR(H125="",H125=0,H125=FALSE),"-",H125))</f>
        <v/>
      </c>
      <c r="J125">
</c>
      <c r="K125">
</c>
      <c r="L125" s="4" cm="1" t="str">
        <f t="array" ref="L125">IF(C125="","",IF(K125="Mort / Plus rien à faire","KO","OK"))</f>
        <v/>
      </c>
      <c r="M125" s="14">
</c>
      <c r="N125" s="10" cm="1" t="str">
        <f t="array" ref="N125">IF(OR(C125="",M125="",M125=0),"",M125)</f>
        <v/>
      </c>
      <c r="O125" s="14">
</c>
      <c r="P125" s="10" cm="1" t="str">
        <f t="array" ref="P125">IF(C125="","",IF(OR(O125="",O125=0),"-",O125))</f>
        <v/>
      </c>
      <c r="Q125" s="15">
</c>
      <c r="R125" s="4" cm="1" t="str">
        <f t="array" ref="R125">IF(C125="","",ROUND(Q125/1000000,3)&amp;" M€")</f>
        <v/>
      </c>
      <c r="S125" s="16">
</c>
      <c r="T125" s="4" cm="1" t="str">
        <f t="array" ref="T125">IF(C125="","",SUBSTITUTE(S125,"","")&amp;"%")</f>
        <v/>
      </c>
      <c r="U125" s="4" cm="1" t="str">
        <f t="array" ref="U125">IF(($N125="")*($P125=""),"",IF(($N125&lt;&gt;"")*($N125&gt;TODAY()-9)*($N125&lt;TODAY()+1)*($P125&lt;&gt;"")*($P125&gt;=TODAY())*($P125&lt;=TODAY()+13),"Semaine passée &amp; à venir",IF(($N125&lt;&gt;"")*($N125&gt;TODAY()-9)*($N125&lt;TODAY()+1),"Semaine passée",IF(($P125&lt;&gt;"")*($P125&gt;=TODAY())*($P125&lt;=TODAY()+13),"À venir","Autre"))))</f>
        <v/>
      </c>
      <c r="V125" cm="1" t="n">
        <f t="array" ref="V125">IF(C125&lt;&gt;"",1,0)</f>
        <v>0</v>
      </c>
    </row>
    <row r="126" ht="78.75" customHeight="1">
      <c r="A126">
</c>
      <c r="B126">
</c>
      <c r="C126" s="13">
</c>
      <c r="D126" s="13">
</c>
      <c r="E126">
</c>
      <c r="F126">
</c>
      <c r="G126" s="9" cm="1" t="str">
        <f t="array" ref="G126">IF(F126="","",SUBSTITUTE(SUBSTITUTE(SUBSTITUTE(SUBSTITUTE(F126,"&lt;li&gt;",CHAR(10)),"&lt;/li&gt;",""),"&lt;br&gt;",CHAR(10)),"&lt;strong&gt;",""))</f>
        <v/>
      </c>
      <c r="H126" s="9" cm="1" t="str">
        <f t="array" ref="H126">IF(G126="","",SUBSTITUTE(SUBSTITUTE(SUBSTITUTE(SUBSTITUTE(SUBSTITUTE(G126,"&lt;p&gt;",""),"&lt;/p&gt;",""),"&lt;ul&gt;",""),"&lt;/ul&gt;",""),"&lt;/strong&gt;",""))</f>
        <v/>
      </c>
      <c r="I126" s="9" cm="1" t="str">
        <f t="array" ref="I126">IF(C126="","",IF(OR(H126="",H126=0,H126=FALSE),"-",H126))</f>
        <v/>
      </c>
      <c r="J126">
</c>
      <c r="K126">
</c>
      <c r="L126" s="4" cm="1" t="str">
        <f t="array" ref="L126">IF(C126="","",IF(K126="Mort / Plus rien à faire","KO","OK"))</f>
        <v/>
      </c>
      <c r="M126" s="14">
</c>
      <c r="N126" s="10" cm="1" t="str">
        <f t="array" ref="N126">IF(OR(C126="",M126="",M126=0),"",M126)</f>
        <v/>
      </c>
      <c r="O126" s="14">
</c>
      <c r="P126" s="10" cm="1" t="str">
        <f t="array" ref="P126">IF(C126="","",IF(OR(O126="",O126=0),"-",O126))</f>
        <v/>
      </c>
      <c r="Q126" s="15">
</c>
      <c r="R126" s="4" cm="1" t="str">
        <f t="array" ref="R126">IF(C126="","",ROUND(Q126/1000000,3)&amp;" M€")</f>
        <v/>
      </c>
      <c r="S126" s="16">
</c>
      <c r="T126" s="4" cm="1" t="str">
        <f t="array" ref="T126">IF(C126="","",SUBSTITUTE(S126,"","")&amp;"%")</f>
        <v/>
      </c>
      <c r="U126" s="4" cm="1" t="str">
        <f t="array" ref="U126">IF(($N126="")*($P126=""),"",IF(($N126&lt;&gt;"")*($N126&gt;TODAY()-9)*($N126&lt;TODAY()+1)*($P126&lt;&gt;"")*($P126&gt;=TODAY())*($P126&lt;=TODAY()+13),"Semaine passée &amp; à venir",IF(($N126&lt;&gt;"")*($N126&gt;TODAY()-9)*($N126&lt;TODAY()+1),"Semaine passée",IF(($P126&lt;&gt;"")*($P126&gt;=TODAY())*($P126&lt;=TODAY()+13),"À venir","Autre"))))</f>
        <v/>
      </c>
      <c r="V126" cm="1" t="n">
        <f t="array" ref="V126">IF(C126&lt;&gt;"",1,0)</f>
        <v>0</v>
      </c>
    </row>
    <row r="127" ht="78.75" customHeight="1">
      <c r="A127">
</c>
      <c r="B127">
</c>
      <c r="C127" s="13">
</c>
      <c r="D127" s="13">
</c>
      <c r="E127">
</c>
      <c r="F127">
</c>
      <c r="G127" s="9" cm="1" t="str">
        <f t="array" ref="G127">IF(F127="","",SUBSTITUTE(SUBSTITUTE(SUBSTITUTE(SUBSTITUTE(F127,"&lt;li&gt;",CHAR(10)),"&lt;/li&gt;",""),"&lt;br&gt;",CHAR(10)),"&lt;strong&gt;",""))</f>
        <v/>
      </c>
      <c r="H127" s="9" cm="1" t="str">
        <f t="array" ref="H127">IF(G127="","",SUBSTITUTE(SUBSTITUTE(SUBSTITUTE(SUBSTITUTE(SUBSTITUTE(G127,"&lt;p&gt;",""),"&lt;/p&gt;",""),"&lt;ul&gt;",""),"&lt;/ul&gt;",""),"&lt;/strong&gt;",""))</f>
        <v/>
      </c>
      <c r="I127" s="9" cm="1" t="str">
        <f t="array" ref="I127">IF(C127="","",IF(OR(H127="",H127=0,H127=FALSE),"-",H127))</f>
        <v/>
      </c>
      <c r="J127">
</c>
      <c r="K127">
</c>
      <c r="L127" s="4" cm="1" t="str">
        <f t="array" ref="L127">IF(C127="","",IF(K127="Mort / Plus rien à faire","KO","OK"))</f>
        <v/>
      </c>
      <c r="M127" s="14">
</c>
      <c r="N127" s="10" cm="1" t="str">
        <f t="array" ref="N127">IF(OR(C127="",M127="",M127=0),"",M127)</f>
        <v/>
      </c>
      <c r="O127" s="14">
</c>
      <c r="P127" s="10" cm="1" t="str">
        <f t="array" ref="P127">IF(C127="","",IF(OR(O127="",O127=0),"-",O127))</f>
        <v/>
      </c>
      <c r="Q127" s="15">
</c>
      <c r="R127" s="4" cm="1" t="str">
        <f t="array" ref="R127">IF(C127="","",ROUND(Q127/1000000,3)&amp;" M€")</f>
        <v/>
      </c>
      <c r="S127" s="16">
</c>
      <c r="T127" s="4" cm="1" t="str">
        <f t="array" ref="T127">IF(C127="","",SUBSTITUTE(S127,"","")&amp;"%")</f>
        <v/>
      </c>
      <c r="U127" s="4" cm="1" t="str">
        <f t="array" ref="U127">IF(($N127="")*($P127=""),"",IF(($N127&lt;&gt;"")*($N127&gt;TODAY()-9)*($N127&lt;TODAY()+1)*($P127&lt;&gt;"")*($P127&gt;=TODAY())*($P127&lt;=TODAY()+13),"Semaine passée &amp; à venir",IF(($N127&lt;&gt;"")*($N127&gt;TODAY()-9)*($N127&lt;TODAY()+1),"Semaine passée",IF(($P127&lt;&gt;"")*($P127&gt;=TODAY())*($P127&lt;=TODAY()+13),"À venir","Autre"))))</f>
        <v/>
      </c>
      <c r="V127" cm="1" t="n">
        <f t="array" ref="V127">IF(C127&lt;&gt;"",1,0)</f>
        <v>0</v>
      </c>
    </row>
    <row r="128" ht="78.75" customHeight="1">
      <c r="A128">
</c>
      <c r="B128">
</c>
      <c r="C128" s="13">
</c>
      <c r="D128" s="13">
</c>
      <c r="E128">
</c>
      <c r="F128">
</c>
      <c r="G128" s="9" cm="1" t="str">
        <f t="array" ref="G128">IF(F128="","",SUBSTITUTE(SUBSTITUTE(SUBSTITUTE(SUBSTITUTE(F128,"&lt;li&gt;",CHAR(10)),"&lt;/li&gt;",""),"&lt;br&gt;",CHAR(10)),"&lt;strong&gt;",""))</f>
        <v/>
      </c>
      <c r="H128" s="9" cm="1" t="str">
        <f t="array" ref="H128">IF(G128="","",SUBSTITUTE(SUBSTITUTE(SUBSTITUTE(SUBSTITUTE(SUBSTITUTE(G128,"&lt;p&gt;",""),"&lt;/p&gt;",""),"&lt;ul&gt;",""),"&lt;/ul&gt;",""),"&lt;/strong&gt;",""))</f>
        <v/>
      </c>
      <c r="I128" s="9" cm="1" t="str">
        <f t="array" ref="I128">IF(C128="","",IF(OR(H128="",H128=0,H128=FALSE),"-",H128))</f>
        <v/>
      </c>
      <c r="J128">
</c>
      <c r="K128">
</c>
      <c r="L128" s="4" cm="1" t="str">
        <f t="array" ref="L128">IF(C128="","",IF(K128="Mort / Plus rien à faire","KO","OK"))</f>
        <v/>
      </c>
      <c r="M128" s="14">
</c>
      <c r="N128" s="10" cm="1" t="str">
        <f t="array" ref="N128">IF(OR(C128="",M128="",M128=0),"",M128)</f>
        <v/>
      </c>
      <c r="O128" s="14">
</c>
      <c r="P128" s="10" cm="1" t="str">
        <f t="array" ref="P128">IF(C128="","",IF(OR(O128="",O128=0),"-",O128))</f>
        <v/>
      </c>
      <c r="Q128" s="15">
</c>
      <c r="R128" s="4" cm="1" t="str">
        <f t="array" ref="R128">IF(C128="","",ROUND(Q128/1000000,3)&amp;" M€")</f>
        <v/>
      </c>
      <c r="S128" s="16">
</c>
      <c r="T128" s="4" cm="1" t="str">
        <f t="array" ref="T128">IF(C128="","",SUBSTITUTE(S128,"","")&amp;"%")</f>
        <v/>
      </c>
      <c r="U128" s="4" cm="1" t="str">
        <f t="array" ref="U128">IF(($N128="")*($P128=""),"",IF(($N128&lt;&gt;"")*($N128&gt;TODAY()-9)*($N128&lt;TODAY()+1)*($P128&lt;&gt;"")*($P128&gt;=TODAY())*($P128&lt;=TODAY()+13),"Semaine passée &amp; à venir",IF(($N128&lt;&gt;"")*($N128&gt;TODAY()-9)*($N128&lt;TODAY()+1),"Semaine passée",IF(($P128&lt;&gt;"")*($P128&gt;=TODAY())*($P128&lt;=TODAY()+13),"À venir","Autre"))))</f>
        <v/>
      </c>
      <c r="V128" cm="1" t="n">
        <f t="array" ref="V128">IF(C128&lt;&gt;"",1,0)</f>
        <v>0</v>
      </c>
    </row>
    <row r="129" ht="78.75" customHeight="1">
      <c r="A129">
</c>
      <c r="B129">
</c>
      <c r="C129" s="13">
</c>
      <c r="D129" s="13">
</c>
      <c r="E129">
</c>
      <c r="F129">
</c>
      <c r="G129" s="9" cm="1" t="str">
        <f t="array" ref="G129">IF(F129="","",SUBSTITUTE(SUBSTITUTE(SUBSTITUTE(SUBSTITUTE(F129,"&lt;li&gt;",CHAR(10)),"&lt;/li&gt;",""),"&lt;br&gt;",CHAR(10)),"&lt;strong&gt;",""))</f>
        <v/>
      </c>
      <c r="H129" s="9" cm="1" t="str">
        <f t="array" ref="H129">IF(G129="","",SUBSTITUTE(SUBSTITUTE(SUBSTITUTE(SUBSTITUTE(SUBSTITUTE(G129,"&lt;p&gt;",""),"&lt;/p&gt;",""),"&lt;ul&gt;",""),"&lt;/ul&gt;",""),"&lt;/strong&gt;",""))</f>
        <v/>
      </c>
      <c r="I129" s="9" cm="1" t="str">
        <f t="array" ref="I129">IF(C129="","",IF(OR(H129="",H129=0,H129=FALSE),"-",H129))</f>
        <v/>
      </c>
      <c r="J129">
</c>
      <c r="K129">
</c>
      <c r="L129" s="4" cm="1" t="str">
        <f t="array" ref="L129">IF(C129="","",IF(K129="Mort / Plus rien à faire","KO","OK"))</f>
        <v/>
      </c>
      <c r="M129" s="14">
</c>
      <c r="N129" s="10" cm="1" t="str">
        <f t="array" ref="N129">IF(OR(C129="",M129="",M129=0),"",M129)</f>
        <v/>
      </c>
      <c r="O129" s="14">
</c>
      <c r="P129" s="10" cm="1" t="str">
        <f t="array" ref="P129">IF(C129="","",IF(OR(O129="",O129=0),"-",O129))</f>
        <v/>
      </c>
      <c r="Q129" s="15">
</c>
      <c r="R129" s="4" cm="1" t="str">
        <f t="array" ref="R129">IF(C129="","",ROUND(Q129/1000000,3)&amp;" M€")</f>
        <v/>
      </c>
      <c r="S129" s="16">
</c>
      <c r="T129" s="4" cm="1" t="str">
        <f t="array" ref="T129">IF(C129="","",SUBSTITUTE(S129,"","")&amp;"%")</f>
        <v/>
      </c>
      <c r="U129" s="4" cm="1" t="str">
        <f t="array" ref="U129">IF(($N129="")*($P129=""),"",IF(($N129&lt;&gt;"")*($N129&gt;TODAY()-9)*($N129&lt;TODAY()+1)*($P129&lt;&gt;"")*($P129&gt;=TODAY())*($P129&lt;=TODAY()+13),"Semaine passée &amp; à venir",IF(($N129&lt;&gt;"")*($N129&gt;TODAY()-9)*($N129&lt;TODAY()+1),"Semaine passée",IF(($P129&lt;&gt;"")*($P129&gt;=TODAY())*($P129&lt;=TODAY()+13),"À venir","Autre"))))</f>
        <v/>
      </c>
      <c r="V129" cm="1" t="n">
        <f t="array" ref="V129">IF(C129&lt;&gt;"",1,0)</f>
        <v>0</v>
      </c>
    </row>
    <row r="130" ht="78.75" customHeight="1">
      <c r="A130">
</c>
      <c r="B130">
</c>
      <c r="C130" s="13">
</c>
      <c r="D130" s="13">
</c>
      <c r="E130">
</c>
      <c r="F130">
</c>
      <c r="G130" s="9" cm="1" t="str">
        <f t="array" ref="G130">IF(F130="","",SUBSTITUTE(SUBSTITUTE(SUBSTITUTE(SUBSTITUTE(F130,"&lt;li&gt;",CHAR(10)),"&lt;/li&gt;",""),"&lt;br&gt;",CHAR(10)),"&lt;strong&gt;",""))</f>
        <v/>
      </c>
      <c r="H130" s="9" cm="1" t="str">
        <f t="array" ref="H130">IF(G130="","",SUBSTITUTE(SUBSTITUTE(SUBSTITUTE(SUBSTITUTE(SUBSTITUTE(G130,"&lt;p&gt;",""),"&lt;/p&gt;",""),"&lt;ul&gt;",""),"&lt;/ul&gt;",""),"&lt;/strong&gt;",""))</f>
        <v/>
      </c>
      <c r="I130" s="9" cm="1" t="str">
        <f t="array" ref="I130">IF(C130="","",IF(OR(H130="",H130=0,H130=FALSE),"-",H130))</f>
        <v/>
      </c>
      <c r="J130">
</c>
      <c r="K130">
</c>
      <c r="L130" s="4" cm="1" t="str">
        <f t="array" ref="L130">IF(C130="","",IF(K130="Mort / Plus rien à faire","KO","OK"))</f>
        <v/>
      </c>
      <c r="M130" s="14">
</c>
      <c r="N130" s="10" cm="1" t="str">
        <f t="array" ref="N130">IF(OR(C130="",M130="",M130=0),"",M130)</f>
        <v/>
      </c>
      <c r="O130" s="14">
</c>
      <c r="P130" s="10" cm="1" t="str">
        <f t="array" ref="P130">IF(C130="","",IF(OR(O130="",O130=0),"-",O130))</f>
        <v/>
      </c>
      <c r="Q130" s="15">
</c>
      <c r="R130" s="4" cm="1" t="str">
        <f t="array" ref="R130">IF(C130="","",ROUND(Q130/1000000,3)&amp;" M€")</f>
        <v/>
      </c>
      <c r="S130" s="16">
</c>
      <c r="T130" s="4" cm="1" t="str">
        <f t="array" ref="T130">IF(C130="","",SUBSTITUTE(S130,"","")&amp;"%")</f>
        <v/>
      </c>
      <c r="U130" s="4" cm="1" t="str">
        <f t="array" ref="U130">IF(($N130="")*($P130=""),"",IF(($N130&lt;&gt;"")*($N130&gt;TODAY()-9)*($N130&lt;TODAY()+1)*($P130&lt;&gt;"")*($P130&gt;=TODAY())*($P130&lt;=TODAY()+13),"Semaine passée &amp; à venir",IF(($N130&lt;&gt;"")*($N130&gt;TODAY()-9)*($N130&lt;TODAY()+1),"Semaine passée",IF(($P130&lt;&gt;"")*($P130&gt;=TODAY())*($P130&lt;=TODAY()+13),"À venir","Autre"))))</f>
        <v/>
      </c>
      <c r="V130" cm="1" t="n">
        <f t="array" ref="V130">IF(C130&lt;&gt;"",1,0)</f>
        <v>0</v>
      </c>
    </row>
    <row r="131" ht="78.75" customHeight="1">
      <c r="A131">
</c>
      <c r="B131">
</c>
      <c r="C131" s="13">
</c>
      <c r="D131" s="13">
</c>
      <c r="E131">
</c>
      <c r="F131">
</c>
      <c r="G131" s="9" cm="1" t="str">
        <f t="array" ref="G131">IF(F131="","",SUBSTITUTE(SUBSTITUTE(SUBSTITUTE(SUBSTITUTE(F131,"&lt;li&gt;",CHAR(10)),"&lt;/li&gt;",""),"&lt;br&gt;",CHAR(10)),"&lt;strong&gt;",""))</f>
        <v/>
      </c>
      <c r="H131" s="9" cm="1" t="str">
        <f t="array" ref="H131">IF(G131="","",SUBSTITUTE(SUBSTITUTE(SUBSTITUTE(SUBSTITUTE(SUBSTITUTE(G131,"&lt;p&gt;",""),"&lt;/p&gt;",""),"&lt;ul&gt;",""),"&lt;/ul&gt;",""),"&lt;/strong&gt;",""))</f>
        <v/>
      </c>
      <c r="I131" s="9" cm="1" t="str">
        <f t="array" ref="I131">IF(C131="","",IF(OR(H131="",H131=0,H131=FALSE),"-",H131))</f>
        <v/>
      </c>
      <c r="J131">
</c>
      <c r="K131">
</c>
      <c r="L131" s="4" cm="1" t="str">
        <f t="array" ref="L131">IF(C131="","",IF(K131="Mort / Plus rien à faire","KO","OK"))</f>
        <v/>
      </c>
      <c r="M131" s="14">
</c>
      <c r="N131" s="10" cm="1" t="str">
        <f t="array" ref="N131">IF(OR(C131="",M131="",M131=0),"",M131)</f>
        <v/>
      </c>
      <c r="O131" s="14">
</c>
      <c r="P131" s="10" cm="1" t="str">
        <f t="array" ref="P131">IF(C131="","",IF(OR(O131="",O131=0),"-",O131))</f>
        <v/>
      </c>
      <c r="Q131" s="15">
</c>
      <c r="R131" s="4" cm="1" t="str">
        <f t="array" ref="R131">IF(C131="","",ROUND(Q131/1000000,3)&amp;" M€")</f>
        <v/>
      </c>
      <c r="S131" s="16">
</c>
      <c r="T131" s="4" cm="1" t="str">
        <f t="array" ref="T131">IF(C131="","",SUBSTITUTE(S131,"","")&amp;"%")</f>
        <v/>
      </c>
      <c r="U131" s="4" cm="1" t="str">
        <f t="array" ref="U131">IF(($N131="")*($P131=""),"",IF(($N131&lt;&gt;"")*($N131&gt;TODAY()-9)*($N131&lt;TODAY()+1)*($P131&lt;&gt;"")*($P131&gt;=TODAY())*($P131&lt;=TODAY()+13),"Semaine passée &amp; à venir",IF(($N131&lt;&gt;"")*($N131&gt;TODAY()-9)*($N131&lt;TODAY()+1),"Semaine passée",IF(($P131&lt;&gt;"")*($P131&gt;=TODAY())*($P131&lt;=TODAY()+13),"À venir","Autre"))))</f>
        <v/>
      </c>
      <c r="V131" cm="1" t="n">
        <f t="array" ref="V131">IF(C131&lt;&gt;"",1,0)</f>
        <v>0</v>
      </c>
    </row>
    <row r="132" ht="78.75" customHeight="1">
      <c r="A132">
</c>
      <c r="B132">
</c>
      <c r="C132" s="13">
</c>
      <c r="D132" s="13">
</c>
      <c r="E132">
</c>
      <c r="F132">
</c>
      <c r="G132" s="9" cm="1" t="str">
        <f t="array" ref="G132">IF(F132="","",SUBSTITUTE(SUBSTITUTE(SUBSTITUTE(SUBSTITUTE(F132,"&lt;li&gt;",CHAR(10)),"&lt;/li&gt;",""),"&lt;br&gt;",CHAR(10)),"&lt;strong&gt;",""))</f>
        <v/>
      </c>
      <c r="H132" s="9" cm="1" t="str">
        <f t="array" ref="H132">IF(G132="","",SUBSTITUTE(SUBSTITUTE(SUBSTITUTE(SUBSTITUTE(SUBSTITUTE(G132,"&lt;p&gt;",""),"&lt;/p&gt;",""),"&lt;ul&gt;",""),"&lt;/ul&gt;",""),"&lt;/strong&gt;",""))</f>
        <v/>
      </c>
      <c r="I132" s="9" cm="1" t="str">
        <f t="array" ref="I132">IF(C132="","",IF(OR(H132="",H132=0,H132=FALSE),"-",H132))</f>
        <v/>
      </c>
      <c r="J132">
</c>
      <c r="K132">
</c>
      <c r="L132" s="4" cm="1" t="str">
        <f t="array" ref="L132">IF(C132="","",IF(K132="Mort / Plus rien à faire","KO","OK"))</f>
        <v/>
      </c>
      <c r="M132" s="14">
</c>
      <c r="N132" s="10" cm="1" t="str">
        <f t="array" ref="N132">IF(OR(C132="",M132="",M132=0),"",M132)</f>
        <v/>
      </c>
      <c r="O132" s="14">
</c>
      <c r="P132" s="10" cm="1" t="str">
        <f t="array" ref="P132">IF(C132="","",IF(OR(O132="",O132=0),"-",O132))</f>
        <v/>
      </c>
      <c r="Q132" s="15">
</c>
      <c r="R132" s="4" cm="1" t="str">
        <f t="array" ref="R132">IF(C132="","",ROUND(Q132/1000000,3)&amp;" M€")</f>
        <v/>
      </c>
      <c r="S132" s="16">
</c>
      <c r="T132" s="4" cm="1" t="str">
        <f t="array" ref="T132">IF(C132="","",SUBSTITUTE(S132,"","")&amp;"%")</f>
        <v/>
      </c>
      <c r="U132" s="4" cm="1" t="str">
        <f t="array" ref="U132">IF(($N132="")*($P132=""),"",IF(($N132&lt;&gt;"")*($N132&gt;TODAY()-9)*($N132&lt;TODAY()+1)*($P132&lt;&gt;"")*($P132&gt;=TODAY())*($P132&lt;=TODAY()+13),"Semaine passée &amp; à venir",IF(($N132&lt;&gt;"")*($N132&gt;TODAY()-9)*($N132&lt;TODAY()+1),"Semaine passée",IF(($P132&lt;&gt;"")*($P132&gt;=TODAY())*($P132&lt;=TODAY()+13),"À venir","Autre"))))</f>
        <v/>
      </c>
      <c r="V132" cm="1" t="n">
        <f t="array" ref="V132">IF(C132&lt;&gt;"",1,0)</f>
        <v>0</v>
      </c>
    </row>
    <row r="133" ht="78.75" customHeight="1">
      <c r="A133">
</c>
      <c r="B133">
</c>
      <c r="C133" s="13">
</c>
      <c r="D133" s="13">
</c>
      <c r="E133">
</c>
      <c r="F133">
</c>
      <c r="G133" s="9" cm="1" t="str">
        <f t="array" ref="G133">IF(F133="","",SUBSTITUTE(SUBSTITUTE(SUBSTITUTE(SUBSTITUTE(F133,"&lt;li&gt;",CHAR(10)),"&lt;/li&gt;",""),"&lt;br&gt;",CHAR(10)),"&lt;strong&gt;",""))</f>
        <v/>
      </c>
      <c r="H133" s="9" cm="1" t="str">
        <f t="array" ref="H133">IF(G133="","",SUBSTITUTE(SUBSTITUTE(SUBSTITUTE(SUBSTITUTE(SUBSTITUTE(G133,"&lt;p&gt;",""),"&lt;/p&gt;",""),"&lt;ul&gt;",""),"&lt;/ul&gt;",""),"&lt;/strong&gt;",""))</f>
        <v/>
      </c>
      <c r="I133" s="9" cm="1" t="str">
        <f t="array" ref="I133">IF(C133="","",IF(OR(H133="",H133=0,H133=FALSE),"-",H133))</f>
        <v/>
      </c>
      <c r="J133">
</c>
      <c r="K133">
</c>
      <c r="L133" s="4" cm="1" t="str">
        <f t="array" ref="L133">IF(C133="","",IF(K133="Mort / Plus rien à faire","KO","OK"))</f>
        <v/>
      </c>
      <c r="M133" s="14">
</c>
      <c r="N133" s="10" cm="1" t="str">
        <f t="array" ref="N133">IF(OR(C133="",M133="",M133=0),"",M133)</f>
        <v/>
      </c>
      <c r="O133" s="14">
</c>
      <c r="P133" s="10" cm="1" t="str">
        <f t="array" ref="P133">IF(C133="","",IF(OR(O133="",O133=0),"-",O133))</f>
        <v/>
      </c>
      <c r="Q133" s="15">
</c>
      <c r="R133" s="4" cm="1" t="str">
        <f t="array" ref="R133">IF(C133="","",ROUND(Q133/1000000,3)&amp;" M€")</f>
        <v/>
      </c>
      <c r="S133" s="16">
</c>
      <c r="T133" s="4" cm="1" t="str">
        <f t="array" ref="T133">IF(C133="","",SUBSTITUTE(S133,"","")&amp;"%")</f>
        <v/>
      </c>
      <c r="U133" s="4" cm="1" t="str">
        <f t="array" ref="U133">IF(($N133="")*($P133=""),"",IF(($N133&lt;&gt;"")*($N133&gt;TODAY()-9)*($N133&lt;TODAY()+1)*($P133&lt;&gt;"")*($P133&gt;=TODAY())*($P133&lt;=TODAY()+13),"Semaine passée &amp; à venir",IF(($N133&lt;&gt;"")*($N133&gt;TODAY()-9)*($N133&lt;TODAY()+1),"Semaine passée",IF(($P133&lt;&gt;"")*($P133&gt;=TODAY())*($P133&lt;=TODAY()+13),"À venir","Autre"))))</f>
        <v/>
      </c>
      <c r="V133" cm="1" t="n">
        <f t="array" ref="V133">IF(C133&lt;&gt;"",1,0)</f>
        <v>0</v>
      </c>
    </row>
    <row r="134" ht="78.75" customHeight="1">
      <c r="A134">
</c>
      <c r="B134">
</c>
      <c r="C134" s="13">
</c>
      <c r="D134" s="13">
</c>
      <c r="E134">
</c>
      <c r="F134">
</c>
      <c r="G134" s="9" cm="1" t="str">
        <f t="array" ref="G134">IF(F134="","",SUBSTITUTE(SUBSTITUTE(SUBSTITUTE(SUBSTITUTE(F134,"&lt;li&gt;",CHAR(10)),"&lt;/li&gt;",""),"&lt;br&gt;",CHAR(10)),"&lt;strong&gt;",""))</f>
        <v/>
      </c>
      <c r="H134" s="9" cm="1" t="str">
        <f t="array" ref="H134">IF(G134="","",SUBSTITUTE(SUBSTITUTE(SUBSTITUTE(SUBSTITUTE(SUBSTITUTE(G134,"&lt;p&gt;",""),"&lt;/p&gt;",""),"&lt;ul&gt;",""),"&lt;/ul&gt;",""),"&lt;/strong&gt;",""))</f>
        <v/>
      </c>
      <c r="I134" s="9" cm="1" t="str">
        <f t="array" ref="I134">IF(C134="","",IF(OR(H134="",H134=0,H134=FALSE),"-",H134))</f>
        <v/>
      </c>
      <c r="J134">
</c>
      <c r="K134">
</c>
      <c r="L134" s="4" cm="1" t="str">
        <f t="array" ref="L134">IF(C134="","",IF(K134="Mort / Plus rien à faire","KO","OK"))</f>
        <v/>
      </c>
      <c r="M134" s="14">
</c>
      <c r="N134" s="10" cm="1" t="str">
        <f t="array" ref="N134">IF(OR(C134="",M134="",M134=0),"",M134)</f>
        <v/>
      </c>
      <c r="O134" s="14">
</c>
      <c r="P134" s="10" cm="1" t="str">
        <f t="array" ref="P134">IF(C134="","",IF(OR(O134="",O134=0),"-",O134))</f>
        <v/>
      </c>
      <c r="Q134" s="15">
</c>
      <c r="R134" s="4" cm="1" t="str">
        <f t="array" ref="R134">IF(C134="","",ROUND(Q134/1000000,3)&amp;" M€")</f>
        <v/>
      </c>
      <c r="S134" s="16">
</c>
      <c r="T134" s="4" cm="1" t="str">
        <f t="array" ref="T134">IF(C134="","",SUBSTITUTE(S134,"","")&amp;"%")</f>
        <v/>
      </c>
      <c r="U134" s="4" cm="1" t="str">
        <f t="array" ref="U134">IF(($N134="")*($P134=""),"",IF(($N134&lt;&gt;"")*($N134&gt;TODAY()-9)*($N134&lt;TODAY()+1)*($P134&lt;&gt;"")*($P134&gt;=TODAY())*($P134&lt;=TODAY()+13),"Semaine passée &amp; à venir",IF(($N134&lt;&gt;"")*($N134&gt;TODAY()-9)*($N134&lt;TODAY()+1),"Semaine passée",IF(($P134&lt;&gt;"")*($P134&gt;=TODAY())*($P134&lt;=TODAY()+13),"À venir","Autre"))))</f>
        <v/>
      </c>
      <c r="V134" cm="1" t="n">
        <f t="array" ref="V134">IF(C134&lt;&gt;"",1,0)</f>
        <v>0</v>
      </c>
    </row>
    <row r="135" ht="78.75" customHeight="1">
      <c r="A135">
</c>
      <c r="B135">
</c>
      <c r="C135" s="13">
</c>
      <c r="D135" s="13">
</c>
      <c r="E135">
</c>
      <c r="F135">
</c>
      <c r="G135" s="9" cm="1" t="str">
        <f t="array" ref="G135">IF(F135="","",SUBSTITUTE(SUBSTITUTE(SUBSTITUTE(SUBSTITUTE(F135,"&lt;li&gt;",CHAR(10)),"&lt;/li&gt;",""),"&lt;br&gt;",CHAR(10)),"&lt;strong&gt;",""))</f>
        <v/>
      </c>
      <c r="H135" s="9" cm="1" t="str">
        <f t="array" ref="H135">IF(G135="","",SUBSTITUTE(SUBSTITUTE(SUBSTITUTE(SUBSTITUTE(SUBSTITUTE(G135,"&lt;p&gt;",""),"&lt;/p&gt;",""),"&lt;ul&gt;",""),"&lt;/ul&gt;",""),"&lt;/strong&gt;",""))</f>
        <v/>
      </c>
      <c r="I135" s="9" cm="1" t="str">
        <f t="array" ref="I135">IF(C135="","",IF(OR(H135="",H135=0,H135=FALSE),"-",H135))</f>
        <v/>
      </c>
      <c r="J135">
</c>
      <c r="K135">
</c>
      <c r="L135" s="4" cm="1" t="str">
        <f t="array" ref="L135">IF(C135="","",IF(K135="Mort / Plus rien à faire","KO","OK"))</f>
        <v/>
      </c>
      <c r="M135" s="14">
</c>
      <c r="N135" s="10" cm="1" t="str">
        <f t="array" ref="N135">IF(OR(C135="",M135="",M135=0),"",M135)</f>
        <v/>
      </c>
      <c r="O135" s="14">
</c>
      <c r="P135" s="10" cm="1" t="str">
        <f t="array" ref="P135">IF(C135="","",IF(OR(O135="",O135=0),"-",O135))</f>
        <v/>
      </c>
      <c r="Q135" s="15">
</c>
      <c r="R135" s="4" cm="1" t="str">
        <f t="array" ref="R135">IF(C135="","",ROUND(Q135/1000000,3)&amp;" M€")</f>
        <v/>
      </c>
      <c r="S135" s="16">
</c>
      <c r="T135" s="4" cm="1" t="str">
        <f t="array" ref="T135">IF(C135="","",SUBSTITUTE(S135,"","")&amp;"%")</f>
        <v/>
      </c>
      <c r="U135" s="4" cm="1" t="str">
        <f t="array" ref="U135">IF(($N135="")*($P135=""),"",IF(($N135&lt;&gt;"")*($N135&gt;TODAY()-9)*($N135&lt;TODAY()+1)*($P135&lt;&gt;"")*($P135&gt;=TODAY())*($P135&lt;=TODAY()+13),"Semaine passée &amp; à venir",IF(($N135&lt;&gt;"")*($N135&gt;TODAY()-9)*($N135&lt;TODAY()+1),"Semaine passée",IF(($P135&lt;&gt;"")*($P135&gt;=TODAY())*($P135&lt;=TODAY()+13),"À venir","Autre"))))</f>
        <v/>
      </c>
      <c r="V135" cm="1" t="n">
        <f t="array" ref="V135">IF(C135&lt;&gt;"",1,0)</f>
        <v>0</v>
      </c>
    </row>
    <row r="136" ht="78.75" customHeight="1">
      <c r="A136">
</c>
      <c r="B136">
</c>
      <c r="C136" s="13">
</c>
      <c r="D136" s="13">
</c>
      <c r="E136">
</c>
      <c r="F136">
</c>
      <c r="G136" s="9" cm="1" t="str">
        <f t="array" ref="G136">IF(F136="","",SUBSTITUTE(SUBSTITUTE(SUBSTITUTE(SUBSTITUTE(F136,"&lt;li&gt;",CHAR(10)),"&lt;/li&gt;",""),"&lt;br&gt;",CHAR(10)),"&lt;strong&gt;",""))</f>
        <v/>
      </c>
      <c r="H136" s="9" cm="1" t="str">
        <f t="array" ref="H136">IF(G136="","",SUBSTITUTE(SUBSTITUTE(SUBSTITUTE(SUBSTITUTE(SUBSTITUTE(G136,"&lt;p&gt;",""),"&lt;/p&gt;",""),"&lt;ul&gt;",""),"&lt;/ul&gt;",""),"&lt;/strong&gt;",""))</f>
        <v/>
      </c>
      <c r="I136" s="9" cm="1" t="str">
        <f t="array" ref="I136">IF(C136="","",IF(OR(H136="",H136=0,H136=FALSE),"-",H136))</f>
        <v/>
      </c>
      <c r="J136">
</c>
      <c r="K136">
</c>
      <c r="L136" s="4" cm="1" t="str">
        <f t="array" ref="L136">IF(C136="","",IF(K136="Mort / Plus rien à faire","KO","OK"))</f>
        <v/>
      </c>
      <c r="M136" s="14">
</c>
      <c r="N136" s="10" cm="1" t="str">
        <f t="array" ref="N136">IF(OR(C136="",M136="",M136=0),"",M136)</f>
        <v/>
      </c>
      <c r="O136" s="14">
</c>
      <c r="P136" s="10" cm="1" t="str">
        <f t="array" ref="P136">IF(C136="","",IF(OR(O136="",O136=0),"-",O136))</f>
        <v/>
      </c>
      <c r="Q136" s="15">
</c>
      <c r="R136" s="4" cm="1" t="str">
        <f t="array" ref="R136">IF(C136="","",ROUND(Q136/1000000,3)&amp;" M€")</f>
        <v/>
      </c>
      <c r="S136" s="16">
</c>
      <c r="T136" s="4" cm="1" t="str">
        <f t="array" ref="T136">IF(C136="","",SUBSTITUTE(S136,"","")&amp;"%")</f>
        <v/>
      </c>
      <c r="U136" s="4" cm="1" t="str">
        <f t="array" ref="U136">IF(($N136="")*($P136=""),"",IF(($N136&lt;&gt;"")*($N136&gt;TODAY()-9)*($N136&lt;TODAY()+1)*($P136&lt;&gt;"")*($P136&gt;=TODAY())*($P136&lt;=TODAY()+13),"Semaine passée &amp; à venir",IF(($N136&lt;&gt;"")*($N136&gt;TODAY()-9)*($N136&lt;TODAY()+1),"Semaine passée",IF(($P136&lt;&gt;"")*($P136&gt;=TODAY())*($P136&lt;=TODAY()+13),"À venir","Autre"))))</f>
        <v/>
      </c>
      <c r="V136" cm="1" t="n">
        <f t="array" ref="V136">IF(C136&lt;&gt;"",1,0)</f>
        <v>0</v>
      </c>
    </row>
    <row r="137" ht="78.75" customHeight="1">
      <c r="A137">
</c>
      <c r="B137">
</c>
      <c r="C137" s="13">
</c>
      <c r="D137" s="13">
</c>
      <c r="E137">
</c>
      <c r="F137">
</c>
      <c r="G137" s="9" cm="1" t="str">
        <f t="array" ref="G137">IF(F137="","",SUBSTITUTE(SUBSTITUTE(SUBSTITUTE(SUBSTITUTE(F137,"&lt;li&gt;",CHAR(10)),"&lt;/li&gt;",""),"&lt;br&gt;",CHAR(10)),"&lt;strong&gt;",""))</f>
        <v/>
      </c>
      <c r="H137" s="9" cm="1" t="str">
        <f t="array" ref="H137">IF(G137="","",SUBSTITUTE(SUBSTITUTE(SUBSTITUTE(SUBSTITUTE(SUBSTITUTE(G137,"&lt;p&gt;",""),"&lt;/p&gt;",""),"&lt;ul&gt;",""),"&lt;/ul&gt;",""),"&lt;/strong&gt;",""))</f>
        <v/>
      </c>
      <c r="I137" s="9" cm="1" t="str">
        <f t="array" ref="I137">IF(C137="","",IF(OR(H137="",H137=0,H137=FALSE),"-",H137))</f>
        <v/>
      </c>
      <c r="J137">
</c>
      <c r="K137">
</c>
      <c r="L137" s="4" cm="1" t="str">
        <f t="array" ref="L137">IF(C137="","",IF(K137="Mort / Plus rien à faire","KO","OK"))</f>
        <v/>
      </c>
      <c r="M137" s="14">
</c>
      <c r="N137" s="10" cm="1" t="str">
        <f t="array" ref="N137">IF(OR(C137="",M137="",M137=0),"",M137)</f>
        <v/>
      </c>
      <c r="O137" s="14">
</c>
      <c r="P137" s="10" cm="1" t="str">
        <f t="array" ref="P137">IF(C137="","",IF(OR(O137="",O137=0),"-",O137))</f>
        <v/>
      </c>
      <c r="Q137" s="15">
</c>
      <c r="R137" s="4" cm="1" t="str">
        <f t="array" ref="R137">IF(C137="","",ROUND(Q137/1000000,3)&amp;" M€")</f>
        <v/>
      </c>
      <c r="S137" s="16">
</c>
      <c r="T137" s="4" cm="1" t="str">
        <f t="array" ref="T137">IF(C137="","",SUBSTITUTE(S137,"","")&amp;"%")</f>
        <v/>
      </c>
      <c r="U137" s="4" cm="1" t="str">
        <f t="array" ref="U137">IF(($N137="")*($P137=""),"",IF(($N137&lt;&gt;"")*($N137&gt;TODAY()-9)*($N137&lt;TODAY()+1)*($P137&lt;&gt;"")*($P137&gt;=TODAY())*($P137&lt;=TODAY()+13),"Semaine passée &amp; à venir",IF(($N137&lt;&gt;"")*($N137&gt;TODAY()-9)*($N137&lt;TODAY()+1),"Semaine passée",IF(($P137&lt;&gt;"")*($P137&gt;=TODAY())*($P137&lt;=TODAY()+13),"À venir","Autre"))))</f>
        <v/>
      </c>
      <c r="V137" cm="1" t="n">
        <f t="array" ref="V137">IF(C137&lt;&gt;"",1,0)</f>
        <v>0</v>
      </c>
    </row>
    <row r="138" ht="78.75" customHeight="1">
      <c r="A138">
</c>
      <c r="B138">
</c>
      <c r="C138" s="13">
</c>
      <c r="D138" s="13">
</c>
      <c r="E138">
</c>
      <c r="F138">
</c>
      <c r="G138" s="9" cm="1" t="str">
        <f t="array" ref="G138">IF(F138="","",SUBSTITUTE(SUBSTITUTE(SUBSTITUTE(SUBSTITUTE(F138,"&lt;li&gt;",CHAR(10)),"&lt;/li&gt;",""),"&lt;br&gt;",CHAR(10)),"&lt;strong&gt;",""))</f>
        <v/>
      </c>
      <c r="H138" s="9" cm="1" t="str">
        <f t="array" ref="H138">IF(G138="","",SUBSTITUTE(SUBSTITUTE(SUBSTITUTE(SUBSTITUTE(SUBSTITUTE(G138,"&lt;p&gt;",""),"&lt;/p&gt;",""),"&lt;ul&gt;",""),"&lt;/ul&gt;",""),"&lt;/strong&gt;",""))</f>
        <v/>
      </c>
      <c r="I138" s="9" cm="1" t="str">
        <f t="array" ref="I138">IF(C138="","",IF(OR(H138="",H138=0,H138=FALSE),"-",H138))</f>
        <v/>
      </c>
      <c r="J138">
</c>
      <c r="K138">
</c>
      <c r="L138" s="4" cm="1" t="str">
        <f t="array" ref="L138">IF(C138="","",IF(K138="Mort / Plus rien à faire","KO","OK"))</f>
        <v/>
      </c>
      <c r="M138" s="14">
</c>
      <c r="N138" s="10" cm="1" t="str">
        <f t="array" ref="N138">IF(OR(C138="",M138="",M138=0),"",M138)</f>
        <v/>
      </c>
      <c r="O138" s="14">
</c>
      <c r="P138" s="10" cm="1" t="str">
        <f t="array" ref="P138">IF(C138="","",IF(OR(O138="",O138=0),"-",O138))</f>
        <v/>
      </c>
      <c r="Q138" s="15">
</c>
      <c r="R138" s="4" cm="1" t="str">
        <f t="array" ref="R138">IF(C138="","",ROUND(Q138/1000000,3)&amp;" M€")</f>
        <v/>
      </c>
      <c r="S138" s="16">
</c>
      <c r="T138" s="4" cm="1" t="str">
        <f t="array" ref="T138">IF(C138="","",SUBSTITUTE(S138,"","")&amp;"%")</f>
        <v/>
      </c>
      <c r="U138" s="4" cm="1" t="str">
        <f t="array" ref="U138">IF(($N138="")*($P138=""),"",IF(($N138&lt;&gt;"")*($N138&gt;TODAY()-9)*($N138&lt;TODAY()+1)*($P138&lt;&gt;"")*($P138&gt;=TODAY())*($P138&lt;=TODAY()+13),"Semaine passée &amp; à venir",IF(($N138&lt;&gt;"")*($N138&gt;TODAY()-9)*($N138&lt;TODAY()+1),"Semaine passée",IF(($P138&lt;&gt;"")*($P138&gt;=TODAY())*($P138&lt;=TODAY()+13),"À venir","Autre"))))</f>
        <v/>
      </c>
      <c r="V138" cm="1" t="n">
        <f t="array" ref="V138">IF(C138&lt;&gt;"",1,0)</f>
        <v>0</v>
      </c>
    </row>
    <row r="139" ht="78.75" customHeight="1">
      <c r="A139">
</c>
      <c r="B139">
</c>
      <c r="C139" s="13">
</c>
      <c r="D139" s="13">
</c>
      <c r="E139">
</c>
      <c r="F139">
</c>
      <c r="G139" s="9" cm="1" t="str">
        <f t="array" ref="G139">IF(F139="","",SUBSTITUTE(SUBSTITUTE(SUBSTITUTE(SUBSTITUTE(F139,"&lt;li&gt;",CHAR(10)),"&lt;/li&gt;",""),"&lt;br&gt;",CHAR(10)),"&lt;strong&gt;",""))</f>
        <v/>
      </c>
      <c r="H139" s="9" cm="1" t="str">
        <f t="array" ref="H139">IF(G139="","",SUBSTITUTE(SUBSTITUTE(SUBSTITUTE(SUBSTITUTE(SUBSTITUTE(G139,"&lt;p&gt;",""),"&lt;/p&gt;",""),"&lt;ul&gt;",""),"&lt;/ul&gt;",""),"&lt;/strong&gt;",""))</f>
        <v/>
      </c>
      <c r="I139" s="9" cm="1" t="str">
        <f t="array" ref="I139">IF(C139="","",IF(OR(H139="",H139=0,H139=FALSE),"-",H139))</f>
        <v/>
      </c>
      <c r="J139">
</c>
      <c r="K139">
</c>
      <c r="L139" s="4" cm="1" t="str">
        <f t="array" ref="L139">IF(C139="","",IF(K139="Mort / Plus rien à faire","KO","OK"))</f>
        <v/>
      </c>
      <c r="M139" s="14">
</c>
      <c r="N139" s="10" cm="1" t="str">
        <f t="array" ref="N139">IF(OR(C139="",M139="",M139=0),"",M139)</f>
        <v/>
      </c>
      <c r="O139" s="14">
</c>
      <c r="P139" s="10" cm="1" t="str">
        <f t="array" ref="P139">IF(C139="","",IF(OR(O139="",O139=0),"-",O139))</f>
        <v/>
      </c>
      <c r="Q139" s="15">
</c>
      <c r="R139" s="4" cm="1" t="str">
        <f t="array" ref="R139">IF(C139="","",ROUND(Q139/1000000,3)&amp;" M€")</f>
        <v/>
      </c>
      <c r="S139" s="16">
</c>
      <c r="T139" s="4" cm="1" t="str">
        <f t="array" ref="T139">IF(C139="","",SUBSTITUTE(S139,"","")&amp;"%")</f>
        <v/>
      </c>
      <c r="U139" s="4" cm="1" t="str">
        <f t="array" ref="U139">IF(($N139="")*($P139=""),"",IF(($N139&lt;&gt;"")*($N139&gt;TODAY()-9)*($N139&lt;TODAY()+1)*($P139&lt;&gt;"")*($P139&gt;=TODAY())*($P139&lt;=TODAY()+13),"Semaine passée &amp; à venir",IF(($N139&lt;&gt;"")*($N139&gt;TODAY()-9)*($N139&lt;TODAY()+1),"Semaine passée",IF(($P139&lt;&gt;"")*($P139&gt;=TODAY())*($P139&lt;=TODAY()+13),"À venir","Autre"))))</f>
        <v/>
      </c>
      <c r="V139" cm="1" t="n">
        <f t="array" ref="V139">IF(C139&lt;&gt;"",1,0)</f>
        <v>0</v>
      </c>
    </row>
    <row r="140" ht="78.75" customHeight="1">
      <c r="A140">
</c>
      <c r="B140">
</c>
      <c r="C140" s="13">
</c>
      <c r="D140" s="13">
</c>
      <c r="E140">
</c>
      <c r="F140">
</c>
      <c r="G140" s="9" cm="1" t="str">
        <f t="array" ref="G140">IF(F140="","",SUBSTITUTE(SUBSTITUTE(SUBSTITUTE(SUBSTITUTE(F140,"&lt;li&gt;",CHAR(10)),"&lt;/li&gt;",""),"&lt;br&gt;",CHAR(10)),"&lt;strong&gt;",""))</f>
        <v/>
      </c>
      <c r="H140" s="9" cm="1" t="str">
        <f t="array" ref="H140">IF(G140="","",SUBSTITUTE(SUBSTITUTE(SUBSTITUTE(SUBSTITUTE(SUBSTITUTE(G140,"&lt;p&gt;",""),"&lt;/p&gt;",""),"&lt;ul&gt;",""),"&lt;/ul&gt;",""),"&lt;/strong&gt;",""))</f>
        <v/>
      </c>
      <c r="I140" s="9" cm="1" t="str">
        <f t="array" ref="I140">IF(C140="","",IF(OR(H140="",H140=0,H140=FALSE),"-",H140))</f>
        <v/>
      </c>
      <c r="J140">
</c>
      <c r="K140">
</c>
      <c r="L140" s="4" cm="1" t="str">
        <f t="array" ref="L140">IF(C140="","",IF(K140="Mort / Plus rien à faire","KO","OK"))</f>
        <v/>
      </c>
      <c r="M140" s="14">
</c>
      <c r="N140" s="10" cm="1" t="str">
        <f t="array" ref="N140">IF(OR(C140="",M140="",M140=0),"",M140)</f>
        <v/>
      </c>
      <c r="O140" s="14">
</c>
      <c r="P140" s="10" cm="1" t="str">
        <f t="array" ref="P140">IF(C140="","",IF(OR(O140="",O140=0),"-",O140))</f>
        <v/>
      </c>
      <c r="Q140" s="15">
</c>
      <c r="R140" s="4" cm="1" t="str">
        <f t="array" ref="R140">IF(C140="","",ROUND(Q140/1000000,3)&amp;" M€")</f>
        <v/>
      </c>
      <c r="S140" s="16">
</c>
      <c r="T140" s="4" cm="1" t="str">
        <f t="array" ref="T140">IF(C140="","",SUBSTITUTE(S140,"","")&amp;"%")</f>
        <v/>
      </c>
      <c r="U140" s="4" cm="1" t="str">
        <f t="array" ref="U140">IF(($N140="")*($P140=""),"",IF(($N140&lt;&gt;"")*($N140&gt;TODAY()-9)*($N140&lt;TODAY()+1)*($P140&lt;&gt;"")*($P140&gt;=TODAY())*($P140&lt;=TODAY()+13),"Semaine passée &amp; à venir",IF(($N140&lt;&gt;"")*($N140&gt;TODAY()-9)*($N140&lt;TODAY()+1),"Semaine passée",IF(($P140&lt;&gt;"")*($P140&gt;=TODAY())*($P140&lt;=TODAY()+13),"À venir","Autre"))))</f>
        <v/>
      </c>
      <c r="V140" cm="1" t="n">
        <f t="array" ref="V140">IF(C140&lt;&gt;"",1,0)</f>
        <v>0</v>
      </c>
    </row>
    <row r="141" ht="78.75" customHeight="1">
      <c r="A141">
</c>
      <c r="B141">
</c>
      <c r="C141" s="13">
</c>
      <c r="D141" s="13">
</c>
      <c r="E141">
</c>
      <c r="F141">
</c>
      <c r="G141" s="9" cm="1" t="str">
        <f t="array" ref="G141">IF(F141="","",SUBSTITUTE(SUBSTITUTE(SUBSTITUTE(SUBSTITUTE(F141,"&lt;li&gt;",CHAR(10)),"&lt;/li&gt;",""),"&lt;br&gt;",CHAR(10)),"&lt;strong&gt;",""))</f>
        <v/>
      </c>
      <c r="H141" s="9" cm="1" t="str">
        <f t="array" ref="H141">IF(G141="","",SUBSTITUTE(SUBSTITUTE(SUBSTITUTE(SUBSTITUTE(SUBSTITUTE(G141,"&lt;p&gt;",""),"&lt;/p&gt;",""),"&lt;ul&gt;",""),"&lt;/ul&gt;",""),"&lt;/strong&gt;",""))</f>
        <v/>
      </c>
      <c r="I141" s="9" cm="1" t="str">
        <f t="array" ref="I141">IF(C141="","",IF(OR(H141="",H141=0,H141=FALSE),"-",H141))</f>
        <v/>
      </c>
      <c r="J141">
</c>
      <c r="K141">
</c>
      <c r="L141" s="4" cm="1" t="str">
        <f t="array" ref="L141">IF(C141="","",IF(K141="Mort / Plus rien à faire","KO","OK"))</f>
        <v/>
      </c>
      <c r="M141" s="14">
</c>
      <c r="N141" s="10" cm="1" t="str">
        <f t="array" ref="N141">IF(OR(C141="",M141="",M141=0),"",M141)</f>
        <v/>
      </c>
      <c r="O141" s="14">
</c>
      <c r="P141" s="10" cm="1" t="str">
        <f t="array" ref="P141">IF(C141="","",IF(OR(O141="",O141=0),"-",O141))</f>
        <v/>
      </c>
      <c r="Q141" s="15">
</c>
      <c r="R141" s="4" cm="1" t="str">
        <f t="array" ref="R141">IF(C141="","",ROUND(Q141/1000000,3)&amp;" M€")</f>
        <v/>
      </c>
      <c r="S141" s="16">
</c>
      <c r="T141" s="4" cm="1" t="str">
        <f t="array" ref="T141">IF(C141="","",SUBSTITUTE(S141,"","")&amp;"%")</f>
        <v/>
      </c>
      <c r="U141" s="4" cm="1" t="str">
        <f t="array" ref="U141">IF(($N141="")*($P141=""),"",IF(($N141&lt;&gt;"")*($N141&gt;TODAY()-9)*($N141&lt;TODAY()+1)*($P141&lt;&gt;"")*($P141&gt;=TODAY())*($P141&lt;=TODAY()+13),"Semaine passée &amp; à venir",IF(($N141&lt;&gt;"")*($N141&gt;TODAY()-9)*($N141&lt;TODAY()+1),"Semaine passée",IF(($P141&lt;&gt;"")*($P141&gt;=TODAY())*($P141&lt;=TODAY()+13),"À venir","Autre"))))</f>
        <v/>
      </c>
      <c r="V141" cm="1" t="n">
        <f t="array" ref="V141">IF(C141&lt;&gt;"",1,0)</f>
        <v>0</v>
      </c>
    </row>
    <row r="142" ht="78.75" customHeight="1">
      <c r="A142">
</c>
      <c r="B142">
</c>
      <c r="C142" s="13">
</c>
      <c r="D142" s="13">
</c>
      <c r="E142">
</c>
      <c r="F142">
</c>
      <c r="G142" s="9" cm="1" t="str">
        <f t="array" ref="G142">IF(F142="","",SUBSTITUTE(SUBSTITUTE(SUBSTITUTE(SUBSTITUTE(F142,"&lt;li&gt;",CHAR(10)),"&lt;/li&gt;",""),"&lt;br&gt;",CHAR(10)),"&lt;strong&gt;",""))</f>
        <v/>
      </c>
      <c r="H142" s="9" cm="1" t="str">
        <f t="array" ref="H142">IF(G142="","",SUBSTITUTE(SUBSTITUTE(SUBSTITUTE(SUBSTITUTE(SUBSTITUTE(G142,"&lt;p&gt;",""),"&lt;/p&gt;",""),"&lt;ul&gt;",""),"&lt;/ul&gt;",""),"&lt;/strong&gt;",""))</f>
        <v/>
      </c>
      <c r="I142" s="9" cm="1" t="str">
        <f t="array" ref="I142">IF(C142="","",IF(OR(H142="",H142=0,H142=FALSE),"-",H142))</f>
        <v/>
      </c>
      <c r="J142">
</c>
      <c r="K142">
</c>
      <c r="L142" s="4" cm="1" t="str">
        <f t="array" ref="L142">IF(C142="","",IF(K142="Mort / Plus rien à faire","KO","OK"))</f>
        <v/>
      </c>
      <c r="M142" s="14">
</c>
      <c r="N142" s="10" cm="1" t="str">
        <f t="array" ref="N142">IF(OR(C142="",M142="",M142=0),"",M142)</f>
        <v/>
      </c>
      <c r="O142" s="14">
</c>
      <c r="P142" s="10" cm="1" t="str">
        <f t="array" ref="P142">IF(C142="","",IF(OR(O142="",O142=0),"-",O142))</f>
        <v/>
      </c>
      <c r="Q142" s="15">
</c>
      <c r="R142" s="4" cm="1" t="str">
        <f t="array" ref="R142">IF(C142="","",ROUND(Q142/1000000,3)&amp;" M€")</f>
        <v/>
      </c>
      <c r="S142" s="16">
</c>
      <c r="T142" s="4" cm="1" t="str">
        <f t="array" ref="T142">IF(C142="","",SUBSTITUTE(S142,"","")&amp;"%")</f>
        <v/>
      </c>
      <c r="U142" s="4" cm="1" t="str">
        <f t="array" ref="U142">IF(($N142="")*($P142=""),"",IF(($N142&lt;&gt;"")*($N142&gt;TODAY()-9)*($N142&lt;TODAY()+1)*($P142&lt;&gt;"")*($P142&gt;=TODAY())*($P142&lt;=TODAY()+13),"Semaine passée &amp; à venir",IF(($N142&lt;&gt;"")*($N142&gt;TODAY()-9)*($N142&lt;TODAY()+1),"Semaine passée",IF(($P142&lt;&gt;"")*($P142&gt;=TODAY())*($P142&lt;=TODAY()+13),"À venir","Autre"))))</f>
        <v/>
      </c>
      <c r="V142" cm="1" t="n">
        <f t="array" ref="V142">IF(C142&lt;&gt;"",1,0)</f>
        <v>0</v>
      </c>
    </row>
    <row r="143" ht="78.75" customHeight="1">
      <c r="A143">
</c>
      <c r="B143">
</c>
      <c r="C143" s="13">
</c>
      <c r="D143" s="13">
</c>
      <c r="E143">
</c>
      <c r="F143">
</c>
      <c r="G143" s="9" cm="1" t="str">
        <f t="array" ref="G143">IF(F143="","",SUBSTITUTE(SUBSTITUTE(SUBSTITUTE(SUBSTITUTE(F143,"&lt;li&gt;",CHAR(10)),"&lt;/li&gt;",""),"&lt;br&gt;",CHAR(10)),"&lt;strong&gt;",""))</f>
        <v/>
      </c>
      <c r="H143" s="9" cm="1" t="str">
        <f t="array" ref="H143">IF(G143="","",SUBSTITUTE(SUBSTITUTE(SUBSTITUTE(SUBSTITUTE(SUBSTITUTE(G143,"&lt;p&gt;",""),"&lt;/p&gt;",""),"&lt;ul&gt;",""),"&lt;/ul&gt;",""),"&lt;/strong&gt;",""))</f>
        <v/>
      </c>
      <c r="I143" s="9" cm="1" t="str">
        <f t="array" ref="I143">IF(C143="","",IF(OR(H143="",H143=0,H143=FALSE),"-",H143))</f>
        <v/>
      </c>
      <c r="J143">
</c>
      <c r="K143">
</c>
      <c r="L143" s="4" cm="1" t="str">
        <f t="array" ref="L143">IF(C143="","",IF(K143="Mort / Plus rien à faire","KO","OK"))</f>
        <v/>
      </c>
      <c r="M143" s="14">
</c>
      <c r="N143" s="10" cm="1" t="str">
        <f t="array" ref="N143">IF(OR(C143="",M143="",M143=0),"",M143)</f>
        <v/>
      </c>
      <c r="O143" s="14">
</c>
      <c r="P143" s="10" cm="1" t="str">
        <f t="array" ref="P143">IF(C143="","",IF(OR(O143="",O143=0),"-",O143))</f>
        <v/>
      </c>
      <c r="Q143" s="15">
</c>
      <c r="R143" s="4" cm="1" t="str">
        <f t="array" ref="R143">IF(C143="","",ROUND(Q143/1000000,3)&amp;" M€")</f>
        <v/>
      </c>
      <c r="S143" s="16">
</c>
      <c r="T143" s="4" cm="1" t="str">
        <f t="array" ref="T143">IF(C143="","",SUBSTITUTE(S143,"","")&amp;"%")</f>
        <v/>
      </c>
      <c r="U143" s="4" cm="1" t="str">
        <f t="array" ref="U143">IF(($N143="")*($P143=""),"",IF(($N143&lt;&gt;"")*($N143&gt;TODAY()-9)*($N143&lt;TODAY()+1)*($P143&lt;&gt;"")*($P143&gt;=TODAY())*($P143&lt;=TODAY()+13),"Semaine passée &amp; à venir",IF(($N143&lt;&gt;"")*($N143&gt;TODAY()-9)*($N143&lt;TODAY()+1),"Semaine passée",IF(($P143&lt;&gt;"")*($P143&gt;=TODAY())*($P143&lt;=TODAY()+13),"À venir","Autre"))))</f>
        <v/>
      </c>
      <c r="V143" cm="1" t="n">
        <f t="array" ref="V143">IF(C143&lt;&gt;"",1,0)</f>
        <v>0</v>
      </c>
    </row>
    <row r="144" ht="78.75" customHeight="1">
      <c r="A144">
</c>
      <c r="B144">
</c>
      <c r="C144" s="13">
</c>
      <c r="D144" s="13">
</c>
      <c r="E144">
</c>
      <c r="F144">
</c>
      <c r="G144" s="9" cm="1" t="str">
        <f t="array" ref="G144">IF(F144="","",SUBSTITUTE(SUBSTITUTE(SUBSTITUTE(SUBSTITUTE(F144,"&lt;li&gt;",CHAR(10)),"&lt;/li&gt;",""),"&lt;br&gt;",CHAR(10)),"&lt;strong&gt;",""))</f>
        <v/>
      </c>
      <c r="H144" s="9" cm="1" t="str">
        <f t="array" ref="H144">IF(G144="","",SUBSTITUTE(SUBSTITUTE(SUBSTITUTE(SUBSTITUTE(SUBSTITUTE(G144,"&lt;p&gt;",""),"&lt;/p&gt;",""),"&lt;ul&gt;",""),"&lt;/ul&gt;",""),"&lt;/strong&gt;",""))</f>
        <v/>
      </c>
      <c r="I144" s="9" cm="1" t="str">
        <f t="array" ref="I144">IF(C144="","",IF(OR(H144="",H144=0,H144=FALSE),"-",H144))</f>
        <v/>
      </c>
      <c r="J144">
</c>
      <c r="K144">
</c>
      <c r="L144" s="4" cm="1" t="str">
        <f t="array" ref="L144">IF(C144="","",IF(K144="Mort / Plus rien à faire","KO","OK"))</f>
        <v/>
      </c>
      <c r="M144" s="14">
</c>
      <c r="N144" s="10" cm="1" t="str">
        <f t="array" ref="N144">IF(OR(C144="",M144="",M144=0),"",M144)</f>
        <v/>
      </c>
      <c r="O144" s="14">
</c>
      <c r="P144" s="10" cm="1" t="str">
        <f t="array" ref="P144">IF(C144="","",IF(OR(O144="",O144=0),"-",O144))</f>
        <v/>
      </c>
      <c r="Q144" s="15">
</c>
      <c r="R144" s="4" cm="1" t="str">
        <f t="array" ref="R144">IF(C144="","",ROUND(Q144/1000000,3)&amp;" M€")</f>
        <v/>
      </c>
      <c r="S144" s="16">
</c>
      <c r="T144" s="4" cm="1" t="str">
        <f t="array" ref="T144">IF(C144="","",SUBSTITUTE(S144,"","")&amp;"%")</f>
        <v/>
      </c>
      <c r="U144" s="4" cm="1" t="str">
        <f t="array" ref="U144">IF(($N144="")*($P144=""),"",IF(($N144&lt;&gt;"")*($N144&gt;TODAY()-9)*($N144&lt;TODAY()+1)*($P144&lt;&gt;"")*($P144&gt;=TODAY())*($P144&lt;=TODAY()+13),"Semaine passée &amp; à venir",IF(($N144&lt;&gt;"")*($N144&gt;TODAY()-9)*($N144&lt;TODAY()+1),"Semaine passée",IF(($P144&lt;&gt;"")*($P144&gt;=TODAY())*($P144&lt;=TODAY()+13),"À venir","Autre"))))</f>
        <v/>
      </c>
      <c r="V144" cm="1" t="n">
        <f t="array" ref="V144">IF(C144&lt;&gt;"",1,0)</f>
        <v>0</v>
      </c>
    </row>
    <row r="145" ht="78.75" customHeight="1">
      <c r="A145">
</c>
      <c r="B145">
</c>
      <c r="C145" s="13">
</c>
      <c r="D145" s="13">
</c>
      <c r="E145">
</c>
      <c r="F145">
</c>
      <c r="G145" s="9" cm="1" t="str">
        <f t="array" ref="G145">IF(F145="","",SUBSTITUTE(SUBSTITUTE(SUBSTITUTE(SUBSTITUTE(F145,"&lt;li&gt;",CHAR(10)),"&lt;/li&gt;",""),"&lt;br&gt;",CHAR(10)),"&lt;strong&gt;",""))</f>
        <v/>
      </c>
      <c r="H145" s="9" cm="1" t="str">
        <f t="array" ref="H145">IF(G145="","",SUBSTITUTE(SUBSTITUTE(SUBSTITUTE(SUBSTITUTE(SUBSTITUTE(G145,"&lt;p&gt;",""),"&lt;/p&gt;",""),"&lt;ul&gt;",""),"&lt;/ul&gt;",""),"&lt;/strong&gt;",""))</f>
        <v/>
      </c>
      <c r="I145" s="9" cm="1" t="str">
        <f t="array" ref="I145">IF(C145="","",IF(OR(H145="",H145=0,H145=FALSE),"-",H145))</f>
        <v/>
      </c>
      <c r="J145">
</c>
      <c r="K145">
</c>
      <c r="L145" s="4" cm="1" t="str">
        <f t="array" ref="L145">IF(C145="","",IF(K145="Mort / Plus rien à faire","KO","OK"))</f>
        <v/>
      </c>
      <c r="M145" s="14">
</c>
      <c r="N145" s="10" cm="1" t="str">
        <f t="array" ref="N145">IF(OR(C145="",M145="",M145=0),"",M145)</f>
        <v/>
      </c>
      <c r="O145" s="14">
</c>
      <c r="P145" s="10" cm="1" t="str">
        <f t="array" ref="P145">IF(C145="","",IF(OR(O145="",O145=0),"-",O145))</f>
        <v/>
      </c>
      <c r="Q145" s="15">
</c>
      <c r="R145" s="4" cm="1" t="str">
        <f t="array" ref="R145">IF(C145="","",ROUND(Q145/1000000,3)&amp;" M€")</f>
        <v/>
      </c>
      <c r="S145" s="16">
</c>
      <c r="T145" s="4" cm="1" t="str">
        <f t="array" ref="T145">IF(C145="","",SUBSTITUTE(S145,"","")&amp;"%")</f>
        <v/>
      </c>
      <c r="U145" s="4" cm="1" t="str">
        <f t="array" ref="U145">IF(($N145="")*($P145=""),"",IF(($N145&lt;&gt;"")*($N145&gt;TODAY()-9)*($N145&lt;TODAY()+1)*($P145&lt;&gt;"")*($P145&gt;=TODAY())*($P145&lt;=TODAY()+13),"Semaine passée &amp; à venir",IF(($N145&lt;&gt;"")*($N145&gt;TODAY()-9)*($N145&lt;TODAY()+1),"Semaine passée",IF(($P145&lt;&gt;"")*($P145&gt;=TODAY())*($P145&lt;=TODAY()+13),"À venir","Autre"))))</f>
        <v/>
      </c>
      <c r="V145" cm="1" t="n">
        <f t="array" ref="V145">IF(C145&lt;&gt;"",1,0)</f>
        <v>0</v>
      </c>
    </row>
    <row r="146" ht="78.75" customHeight="1">
      <c r="A146">
</c>
      <c r="B146">
</c>
      <c r="C146" s="13">
</c>
      <c r="D146" s="13">
</c>
      <c r="E146">
</c>
      <c r="F146">
</c>
      <c r="G146" s="9" cm="1" t="str">
        <f t="array" ref="G146">IF(F146="","",SUBSTITUTE(SUBSTITUTE(SUBSTITUTE(SUBSTITUTE(F146,"&lt;li&gt;",CHAR(10)),"&lt;/li&gt;",""),"&lt;br&gt;",CHAR(10)),"&lt;strong&gt;",""))</f>
        <v/>
      </c>
      <c r="H146" s="9" cm="1" t="str">
        <f t="array" ref="H146">IF(G146="","",SUBSTITUTE(SUBSTITUTE(SUBSTITUTE(SUBSTITUTE(SUBSTITUTE(G146,"&lt;p&gt;",""),"&lt;/p&gt;",""),"&lt;ul&gt;",""),"&lt;/ul&gt;",""),"&lt;/strong&gt;",""))</f>
        <v/>
      </c>
      <c r="I146" s="9" cm="1" t="str">
        <f t="array" ref="I146">IF(C146="","",IF(OR(H146="",H146=0,H146=FALSE),"-",H146))</f>
        <v/>
      </c>
      <c r="J146">
</c>
      <c r="K146">
</c>
      <c r="L146" s="4" cm="1" t="str">
        <f t="array" ref="L146">IF(C146="","",IF(K146="Mort / Plus rien à faire","KO","OK"))</f>
        <v/>
      </c>
      <c r="M146" s="14">
</c>
      <c r="N146" s="10" cm="1" t="str">
        <f t="array" ref="N146">IF(OR(C146="",M146="",M146=0),"",M146)</f>
        <v/>
      </c>
      <c r="O146" s="14">
</c>
      <c r="P146" s="10" cm="1" t="str">
        <f t="array" ref="P146">IF(C146="","",IF(OR(O146="",O146=0),"-",O146))</f>
        <v/>
      </c>
      <c r="Q146" s="15">
</c>
      <c r="R146" s="4" cm="1" t="str">
        <f t="array" ref="R146">IF(C146="","",ROUND(Q146/1000000,3)&amp;" M€")</f>
        <v/>
      </c>
      <c r="S146" s="16">
</c>
      <c r="T146" s="4" cm="1" t="str">
        <f t="array" ref="T146">IF(C146="","",SUBSTITUTE(S146,"","")&amp;"%")</f>
        <v/>
      </c>
      <c r="U146" s="4" cm="1" t="str">
        <f t="array" ref="U146">IF(($N146="")*($P146=""),"",IF(($N146&lt;&gt;"")*($N146&gt;TODAY()-9)*($N146&lt;TODAY()+1)*($P146&lt;&gt;"")*($P146&gt;=TODAY())*($P146&lt;=TODAY()+13),"Semaine passée &amp; à venir",IF(($N146&lt;&gt;"")*($N146&gt;TODAY()-9)*($N146&lt;TODAY()+1),"Semaine passée",IF(($P146&lt;&gt;"")*($P146&gt;=TODAY())*($P146&lt;=TODAY()+13),"À venir","Autre"))))</f>
        <v/>
      </c>
      <c r="V146" cm="1" t="n">
        <f t="array" ref="V146">IF(C146&lt;&gt;"",1,0)</f>
        <v>0</v>
      </c>
    </row>
    <row r="147" ht="78.75" customHeight="1">
      <c r="A147">
</c>
      <c r="B147">
</c>
      <c r="C147" s="13">
</c>
      <c r="D147" s="13">
</c>
      <c r="E147">
</c>
      <c r="F147">
</c>
      <c r="G147" s="9" cm="1" t="str">
        <f t="array" ref="G147">IF(F147="","",SUBSTITUTE(SUBSTITUTE(SUBSTITUTE(SUBSTITUTE(F147,"&lt;li&gt;",CHAR(10)),"&lt;/li&gt;",""),"&lt;br&gt;",CHAR(10)),"&lt;strong&gt;",""))</f>
        <v/>
      </c>
      <c r="H147" s="9" cm="1" t="str">
        <f t="array" ref="H147">IF(G147="","",SUBSTITUTE(SUBSTITUTE(SUBSTITUTE(SUBSTITUTE(SUBSTITUTE(G147,"&lt;p&gt;",""),"&lt;/p&gt;",""),"&lt;ul&gt;",""),"&lt;/ul&gt;",""),"&lt;/strong&gt;",""))</f>
        <v/>
      </c>
      <c r="I147" s="9" cm="1" t="str">
        <f t="array" ref="I147">IF(C147="","",IF(OR(H147="",H147=0,H147=FALSE),"-",H147))</f>
        <v/>
      </c>
      <c r="J147">
</c>
      <c r="K147">
</c>
      <c r="L147" s="4" cm="1" t="str">
        <f t="array" ref="L147">IF(C147="","",IF(K147="Mort / Plus rien à faire","KO","OK"))</f>
        <v/>
      </c>
      <c r="M147" s="14">
</c>
      <c r="N147" s="10" cm="1" t="str">
        <f t="array" ref="N147">IF(OR(C147="",M147="",M147=0),"",M147)</f>
        <v/>
      </c>
      <c r="O147" s="14">
</c>
      <c r="P147" s="10" cm="1" t="str">
        <f t="array" ref="P147">IF(C147="","",IF(OR(O147="",O147=0),"-",O147))</f>
        <v/>
      </c>
      <c r="Q147" s="15">
</c>
      <c r="R147" s="4" cm="1" t="str">
        <f t="array" ref="R147">IF(C147="","",ROUND(Q147/1000000,3)&amp;" M€")</f>
        <v/>
      </c>
      <c r="S147" s="16">
</c>
      <c r="T147" s="4" cm="1" t="str">
        <f t="array" ref="T147">IF(C147="","",SUBSTITUTE(S147,"","")&amp;"%")</f>
        <v/>
      </c>
      <c r="U147" s="4" cm="1" t="str">
        <f t="array" ref="U147">IF(($N147="")*($P147=""),"",IF(($N147&lt;&gt;"")*($N147&gt;TODAY()-9)*($N147&lt;TODAY()+1)*($P147&lt;&gt;"")*($P147&gt;=TODAY())*($P147&lt;=TODAY()+13),"Semaine passée &amp; à venir",IF(($N147&lt;&gt;"")*($N147&gt;TODAY()-9)*($N147&lt;TODAY()+1),"Semaine passée",IF(($P147&lt;&gt;"")*($P147&gt;=TODAY())*($P147&lt;=TODAY()+13),"À venir","Autre"))))</f>
        <v/>
      </c>
      <c r="V147" cm="1" t="n">
        <f t="array" ref="V147">IF(C147&lt;&gt;"",1,0)</f>
        <v>0</v>
      </c>
    </row>
    <row r="148" ht="78.75" customHeight="1">
      <c r="A148">
</c>
      <c r="B148">
</c>
      <c r="C148" s="13">
</c>
      <c r="D148" s="13">
</c>
      <c r="E148">
</c>
      <c r="F148">
</c>
      <c r="G148" s="9" cm="1" t="str">
        <f t="array" ref="G148">IF(F148="","",SUBSTITUTE(SUBSTITUTE(SUBSTITUTE(SUBSTITUTE(F148,"&lt;li&gt;",CHAR(10)),"&lt;/li&gt;",""),"&lt;br&gt;",CHAR(10)),"&lt;strong&gt;",""))</f>
        <v/>
      </c>
      <c r="H148" s="9" cm="1" t="str">
        <f t="array" ref="H148">IF(G148="","",SUBSTITUTE(SUBSTITUTE(SUBSTITUTE(SUBSTITUTE(SUBSTITUTE(G148,"&lt;p&gt;",""),"&lt;/p&gt;",""),"&lt;ul&gt;",""),"&lt;/ul&gt;",""),"&lt;/strong&gt;",""))</f>
        <v/>
      </c>
      <c r="I148" s="9" cm="1" t="str">
        <f t="array" ref="I148">IF(C148="","",IF(OR(H148="",H148=0,H148=FALSE),"-",H148))</f>
        <v/>
      </c>
      <c r="J148">
</c>
      <c r="K148">
</c>
      <c r="L148" s="4" cm="1" t="str">
        <f t="array" ref="L148">IF(C148="","",IF(K148="Mort / Plus rien à faire","KO","OK"))</f>
        <v/>
      </c>
      <c r="M148" s="14">
</c>
      <c r="N148" s="10" cm="1" t="str">
        <f t="array" ref="N148">IF(OR(C148="",M148="",M148=0),"",M148)</f>
        <v/>
      </c>
      <c r="O148" s="14">
</c>
      <c r="P148" s="10" cm="1" t="str">
        <f t="array" ref="P148">IF(C148="","",IF(OR(O148="",O148=0),"-",O148))</f>
        <v/>
      </c>
      <c r="Q148" s="15">
</c>
      <c r="R148" s="4" cm="1" t="str">
        <f t="array" ref="R148">IF(C148="","",ROUND(Q148/1000000,3)&amp;" M€")</f>
        <v/>
      </c>
      <c r="S148" s="16">
</c>
      <c r="T148" s="4" cm="1" t="str">
        <f t="array" ref="T148">IF(C148="","",SUBSTITUTE(S148,"","")&amp;"%")</f>
        <v/>
      </c>
      <c r="U148" s="4" cm="1" t="str">
        <f t="array" ref="U148">IF(($N148="")*($P148=""),"",IF(($N148&lt;&gt;"")*($N148&gt;TODAY()-9)*($N148&lt;TODAY()+1)*($P148&lt;&gt;"")*($P148&gt;=TODAY())*($P148&lt;=TODAY()+13),"Semaine passée &amp; à venir",IF(($N148&lt;&gt;"")*($N148&gt;TODAY()-9)*($N148&lt;TODAY()+1),"Semaine passée",IF(($P148&lt;&gt;"")*($P148&gt;=TODAY())*($P148&lt;=TODAY()+13),"À venir","Autre"))))</f>
        <v/>
      </c>
      <c r="V148" cm="1" t="n">
        <f t="array" ref="V148">IF(C148&lt;&gt;"",1,0)</f>
        <v>0</v>
      </c>
    </row>
    <row r="149" ht="78.75" customHeight="1">
      <c r="A149">
</c>
      <c r="B149">
</c>
      <c r="C149" s="13">
</c>
      <c r="D149" s="13">
</c>
      <c r="E149">
</c>
      <c r="F149">
</c>
      <c r="G149" s="9" cm="1" t="str">
        <f t="array" ref="G149">IF(F149="","",SUBSTITUTE(SUBSTITUTE(SUBSTITUTE(SUBSTITUTE(F149,"&lt;li&gt;",CHAR(10)),"&lt;/li&gt;",""),"&lt;br&gt;",CHAR(10)),"&lt;strong&gt;",""))</f>
        <v/>
      </c>
      <c r="H149" s="9" cm="1" t="str">
        <f t="array" ref="H149">IF(G149="","",SUBSTITUTE(SUBSTITUTE(SUBSTITUTE(SUBSTITUTE(SUBSTITUTE(G149,"&lt;p&gt;",""),"&lt;/p&gt;",""),"&lt;ul&gt;",""),"&lt;/ul&gt;",""),"&lt;/strong&gt;",""))</f>
        <v/>
      </c>
      <c r="I149" s="9" cm="1" t="str">
        <f t="array" ref="I149">IF(C149="","",IF(OR(H149="",H149=0,H149=FALSE),"-",H149))</f>
        <v/>
      </c>
      <c r="J149">
</c>
      <c r="K149">
</c>
      <c r="L149" s="4" cm="1" t="str">
        <f t="array" ref="L149">IF(C149="","",IF(K149="Mort / Plus rien à faire","KO","OK"))</f>
        <v/>
      </c>
      <c r="M149" s="14">
</c>
      <c r="N149" s="10" cm="1" t="str">
        <f t="array" ref="N149">IF(OR(C149="",M149="",M149=0),"",M149)</f>
        <v/>
      </c>
      <c r="O149" s="14">
</c>
      <c r="P149" s="10" cm="1" t="str">
        <f t="array" ref="P149">IF(C149="","",IF(OR(O149="",O149=0),"-",O149))</f>
        <v/>
      </c>
      <c r="Q149" s="15">
</c>
      <c r="R149" s="4" cm="1" t="str">
        <f t="array" ref="R149">IF(C149="","",ROUND(Q149/1000000,3)&amp;" M€")</f>
        <v/>
      </c>
      <c r="S149" s="16">
</c>
      <c r="T149" s="4" cm="1" t="str">
        <f t="array" ref="T149">IF(C149="","",SUBSTITUTE(S149,"","")&amp;"%")</f>
        <v/>
      </c>
      <c r="U149" s="4" cm="1" t="str">
        <f t="array" ref="U149">IF(($N149="")*($P149=""),"",IF(($N149&lt;&gt;"")*($N149&gt;TODAY()-9)*($N149&lt;TODAY()+1)*($P149&lt;&gt;"")*($P149&gt;=TODAY())*($P149&lt;=TODAY()+13),"Semaine passée &amp; à venir",IF(($N149&lt;&gt;"")*($N149&gt;TODAY()-9)*($N149&lt;TODAY()+1),"Semaine passée",IF(($P149&lt;&gt;"")*($P149&gt;=TODAY())*($P149&lt;=TODAY()+13),"À venir","Autre"))))</f>
        <v/>
      </c>
      <c r="V149" cm="1" t="n">
        <f t="array" ref="V149">IF(C149&lt;&gt;"",1,0)</f>
        <v>0</v>
      </c>
    </row>
    <row r="150" ht="78.75" customHeight="1">
      <c r="A150">
</c>
      <c r="B150">
</c>
      <c r="C150" s="13">
</c>
      <c r="D150" s="13">
</c>
      <c r="E150">
</c>
      <c r="F150">
</c>
      <c r="G150" s="9" cm="1" t="str">
        <f t="array" ref="G150">IF(F150="","",SUBSTITUTE(SUBSTITUTE(SUBSTITUTE(SUBSTITUTE(F150,"&lt;li&gt;",CHAR(10)),"&lt;/li&gt;",""),"&lt;br&gt;",CHAR(10)),"&lt;strong&gt;",""))</f>
        <v/>
      </c>
      <c r="H150" s="9" cm="1" t="str">
        <f t="array" ref="H150">IF(G150="","",SUBSTITUTE(SUBSTITUTE(SUBSTITUTE(SUBSTITUTE(SUBSTITUTE(G150,"&lt;p&gt;",""),"&lt;/p&gt;",""),"&lt;ul&gt;",""),"&lt;/ul&gt;",""),"&lt;/strong&gt;",""))</f>
        <v/>
      </c>
      <c r="I150" s="9" cm="1" t="str">
        <f t="array" ref="I150">IF(C150="","",IF(OR(H150="",H150=0,H150=FALSE),"-",H150))</f>
        <v/>
      </c>
      <c r="J150">
</c>
      <c r="K150">
</c>
      <c r="L150" s="4" cm="1" t="str">
        <f t="array" ref="L150">IF(C150="","",IF(K150="Mort / Plus rien à faire","KO","OK"))</f>
        <v/>
      </c>
      <c r="M150" s="14">
</c>
      <c r="N150" s="10" cm="1" t="str">
        <f t="array" ref="N150">IF(OR(C150="",M150="",M150=0),"",M150)</f>
        <v/>
      </c>
      <c r="O150" s="14">
</c>
      <c r="P150" s="10" cm="1" t="str">
        <f t="array" ref="P150">IF(C150="","",IF(OR(O150="",O150=0),"-",O150))</f>
        <v/>
      </c>
      <c r="Q150" s="15">
</c>
      <c r="R150" s="4" cm="1" t="str">
        <f t="array" ref="R150">IF(C150="","",ROUND(Q150/1000000,3)&amp;" M€")</f>
        <v/>
      </c>
      <c r="S150" s="16">
</c>
      <c r="T150" s="4" cm="1" t="str">
        <f t="array" ref="T150">IF(C150="","",SUBSTITUTE(S150,"","")&amp;"%")</f>
        <v/>
      </c>
      <c r="U150" s="4" cm="1" t="str">
        <f t="array" ref="U150">IF(($N150="")*($P150=""),"",IF(($N150&lt;&gt;"")*($N150&gt;TODAY()-9)*($N150&lt;TODAY()+1)*($P150&lt;&gt;"")*($P150&gt;=TODAY())*($P150&lt;=TODAY()+13),"Semaine passée &amp; à venir",IF(($N150&lt;&gt;"")*($N150&gt;TODAY()-9)*($N150&lt;TODAY()+1),"Semaine passée",IF(($P150&lt;&gt;"")*($P150&gt;=TODAY())*($P150&lt;=TODAY()+13),"À venir","Autre"))))</f>
        <v/>
      </c>
      <c r="V150" cm="1" t="n">
        <f t="array" ref="V150">IF(C150&lt;&gt;"",1,0)</f>
        <v>0</v>
      </c>
    </row>
    <row r="151" ht="78.75" customHeight="1">
      <c r="A151">
</c>
      <c r="B151">
</c>
      <c r="C151" s="13">
</c>
      <c r="D151" s="13">
</c>
      <c r="E151">
</c>
      <c r="F151">
</c>
      <c r="G151" s="9" cm="1" t="str">
        <f t="array" ref="G151">IF(F151="","",SUBSTITUTE(SUBSTITUTE(SUBSTITUTE(SUBSTITUTE(F151,"&lt;li&gt;",CHAR(10)),"&lt;/li&gt;",""),"&lt;br&gt;",CHAR(10)),"&lt;strong&gt;",""))</f>
        <v/>
      </c>
      <c r="H151" s="9" cm="1" t="str">
        <f t="array" ref="H151">IF(G151="","",SUBSTITUTE(SUBSTITUTE(SUBSTITUTE(SUBSTITUTE(SUBSTITUTE(G151,"&lt;p&gt;",""),"&lt;/p&gt;",""),"&lt;ul&gt;",""),"&lt;/ul&gt;",""),"&lt;/strong&gt;",""))</f>
        <v/>
      </c>
      <c r="I151" s="9" cm="1" t="str">
        <f t="array" ref="I151">IF(C151="","",IF(OR(H151="",H151=0,H151=FALSE),"-",H151))</f>
        <v/>
      </c>
      <c r="J151">
</c>
      <c r="K151">
</c>
      <c r="L151" s="4" cm="1" t="str">
        <f t="array" ref="L151">IF(C151="","",IF(K151="Mort / Plus rien à faire","KO","OK"))</f>
        <v/>
      </c>
      <c r="M151" s="14">
</c>
      <c r="N151" s="10" cm="1" t="str">
        <f t="array" ref="N151">IF(OR(C151="",M151="",M151=0),"",M151)</f>
        <v/>
      </c>
      <c r="O151" s="14">
</c>
      <c r="P151" s="10" cm="1" t="str">
        <f t="array" ref="P151">IF(C151="","",IF(OR(O151="",O151=0),"-",O151))</f>
        <v/>
      </c>
      <c r="Q151" s="15">
</c>
      <c r="R151" s="4" cm="1" t="str">
        <f t="array" ref="R151">IF(C151="","",ROUND(Q151/1000000,3)&amp;" M€")</f>
        <v/>
      </c>
      <c r="S151" s="16">
</c>
      <c r="T151" s="4" cm="1" t="str">
        <f t="array" ref="T151">IF(C151="","",SUBSTITUTE(S151,"","")&amp;"%")</f>
        <v/>
      </c>
      <c r="U151" s="4" cm="1" t="str">
        <f t="array" ref="U151">IF(($N151="")*($P151=""),"",IF(($N151&lt;&gt;"")*($N151&gt;TODAY()-9)*($N151&lt;TODAY()+1)*($P151&lt;&gt;"")*($P151&gt;=TODAY())*($P151&lt;=TODAY()+13),"Semaine passée &amp; à venir",IF(($N151&lt;&gt;"")*($N151&gt;TODAY()-9)*($N151&lt;TODAY()+1),"Semaine passée",IF(($P151&lt;&gt;"")*($P151&gt;=TODAY())*($P151&lt;=TODAY()+13),"À venir","Autre"))))</f>
        <v/>
      </c>
      <c r="V151" cm="1" t="n">
        <f t="array" ref="V151">IF(C151&lt;&gt;"",1,0)</f>
        <v>0</v>
      </c>
    </row>
    <row r="152" ht="78.75" customHeight="1">
      <c r="A152">
</c>
      <c r="B152">
</c>
      <c r="C152" s="13">
</c>
      <c r="D152" s="13">
</c>
      <c r="E152">
</c>
      <c r="F152">
</c>
      <c r="G152" s="9" cm="1" t="str">
        <f t="array" ref="G152">IF(F152="","",SUBSTITUTE(SUBSTITUTE(SUBSTITUTE(SUBSTITUTE(F152,"&lt;li&gt;",CHAR(10)),"&lt;/li&gt;",""),"&lt;br&gt;",CHAR(10)),"&lt;strong&gt;",""))</f>
        <v/>
      </c>
      <c r="H152" s="9" cm="1" t="str">
        <f t="array" ref="H152">IF(G152="","",SUBSTITUTE(SUBSTITUTE(SUBSTITUTE(SUBSTITUTE(SUBSTITUTE(G152,"&lt;p&gt;",""),"&lt;/p&gt;",""),"&lt;ul&gt;",""),"&lt;/ul&gt;",""),"&lt;/strong&gt;",""))</f>
        <v/>
      </c>
      <c r="I152" s="9" cm="1" t="str">
        <f t="array" ref="I152">IF(C152="","",IF(OR(H152="",H152=0,H152=FALSE),"-",H152))</f>
        <v/>
      </c>
      <c r="J152">
</c>
      <c r="K152">
</c>
      <c r="L152" s="4" cm="1" t="str">
        <f t="array" ref="L152">IF(C152="","",IF(K152="Mort / Plus rien à faire","KO","OK"))</f>
        <v/>
      </c>
      <c r="M152" s="14">
</c>
      <c r="N152" s="10" cm="1" t="str">
        <f t="array" ref="N152">IF(OR(C152="",M152="",M152=0),"",M152)</f>
        <v/>
      </c>
      <c r="O152" s="14">
</c>
      <c r="P152" s="10" cm="1" t="str">
        <f t="array" ref="P152">IF(C152="","",IF(OR(O152="",O152=0),"-",O152))</f>
        <v/>
      </c>
      <c r="Q152" s="15">
</c>
      <c r="R152" s="4" cm="1" t="str">
        <f t="array" ref="R152">IF(C152="","",ROUND(Q152/1000000,3)&amp;" M€")</f>
        <v/>
      </c>
      <c r="S152" s="16">
</c>
      <c r="T152" s="4" cm="1" t="str">
        <f t="array" ref="T152">IF(C152="","",SUBSTITUTE(S152,"","")&amp;"%")</f>
        <v/>
      </c>
      <c r="U152" s="4" cm="1" t="str">
        <f t="array" ref="U152">IF(($N152="")*($P152=""),"",IF(($N152&lt;&gt;"")*($N152&gt;TODAY()-9)*($N152&lt;TODAY()+1)*($P152&lt;&gt;"")*($P152&gt;=TODAY())*($P152&lt;=TODAY()+13),"Semaine passée &amp; à venir",IF(($N152&lt;&gt;"")*($N152&gt;TODAY()-9)*($N152&lt;TODAY()+1),"Semaine passée",IF(($P152&lt;&gt;"")*($P152&gt;=TODAY())*($P152&lt;=TODAY()+13),"À venir","Autre"))))</f>
        <v/>
      </c>
      <c r="V152" cm="1" t="n">
        <f t="array" ref="V152">IF(C152&lt;&gt;"",1,0)</f>
        <v>0</v>
      </c>
    </row>
    <row r="153" ht="78.75" customHeight="1">
      <c r="A153">
</c>
      <c r="B153">
</c>
      <c r="C153" s="13">
</c>
      <c r="D153" s="13">
</c>
      <c r="E153">
</c>
      <c r="F153">
</c>
      <c r="G153" s="9" cm="1" t="str">
        <f t="array" ref="G153">IF(F153="","",SUBSTITUTE(SUBSTITUTE(SUBSTITUTE(SUBSTITUTE(F153,"&lt;li&gt;",CHAR(10)),"&lt;/li&gt;",""),"&lt;br&gt;",CHAR(10)),"&lt;strong&gt;",""))</f>
        <v/>
      </c>
      <c r="H153" s="9" cm="1" t="str">
        <f t="array" ref="H153">IF(G153="","",SUBSTITUTE(SUBSTITUTE(SUBSTITUTE(SUBSTITUTE(SUBSTITUTE(G153,"&lt;p&gt;",""),"&lt;/p&gt;",""),"&lt;ul&gt;",""),"&lt;/ul&gt;",""),"&lt;/strong&gt;",""))</f>
        <v/>
      </c>
      <c r="I153" s="9" cm="1" t="str">
        <f t="array" ref="I153">IF(C153="","",IF(OR(H153="",H153=0,H153=FALSE),"-",H153))</f>
        <v/>
      </c>
      <c r="J153">
</c>
      <c r="K153">
</c>
      <c r="L153" s="4" cm="1" t="str">
        <f t="array" ref="L153">IF(C153="","",IF(K153="Mort / Plus rien à faire","KO","OK"))</f>
        <v/>
      </c>
      <c r="M153" s="14">
</c>
      <c r="N153" s="10" cm="1" t="str">
        <f t="array" ref="N153">IF(OR(C153="",M153="",M153=0),"",M153)</f>
        <v/>
      </c>
      <c r="O153" s="14">
</c>
      <c r="P153" s="10" cm="1" t="str">
        <f t="array" ref="P153">IF(C153="","",IF(OR(O153="",O153=0),"-",O153))</f>
        <v/>
      </c>
      <c r="Q153" s="15">
</c>
      <c r="R153" s="4" cm="1" t="str">
        <f t="array" ref="R153">IF(C153="","",ROUND(Q153/1000000,3)&amp;" M€")</f>
        <v/>
      </c>
      <c r="S153" s="16">
</c>
      <c r="T153" s="4" cm="1" t="str">
        <f t="array" ref="T153">IF(C153="","",SUBSTITUTE(S153,"","")&amp;"%")</f>
        <v/>
      </c>
      <c r="U153" s="4" cm="1" t="str">
        <f t="array" ref="U153">IF(($N153="")*($P153=""),"",IF(($N153&lt;&gt;"")*($N153&gt;TODAY()-9)*($N153&lt;TODAY()+1)*($P153&lt;&gt;"")*($P153&gt;=TODAY())*($P153&lt;=TODAY()+13),"Semaine passée &amp; à venir",IF(($N153&lt;&gt;"")*($N153&gt;TODAY()-9)*($N153&lt;TODAY()+1),"Semaine passée",IF(($P153&lt;&gt;"")*($P153&gt;=TODAY())*($P153&lt;=TODAY()+13),"À venir","Autre"))))</f>
        <v/>
      </c>
      <c r="V153" cm="1" t="n">
        <f t="array" ref="V153">IF(C153&lt;&gt;"",1,0)</f>
        <v>0</v>
      </c>
    </row>
    <row r="154" ht="78.75" customHeight="1">
      <c r="A154">
</c>
      <c r="B154">
</c>
      <c r="C154" s="13">
</c>
      <c r="D154" s="13">
</c>
      <c r="E154">
</c>
      <c r="F154">
</c>
      <c r="G154" s="9" cm="1" t="str">
        <f t="array" ref="G154">IF(F154="","",SUBSTITUTE(SUBSTITUTE(SUBSTITUTE(SUBSTITUTE(F154,"&lt;li&gt;",CHAR(10)),"&lt;/li&gt;",""),"&lt;br&gt;",CHAR(10)),"&lt;strong&gt;",""))</f>
        <v/>
      </c>
      <c r="H154" s="9" cm="1" t="str">
        <f t="array" ref="H154">IF(G154="","",SUBSTITUTE(SUBSTITUTE(SUBSTITUTE(SUBSTITUTE(SUBSTITUTE(G154,"&lt;p&gt;",""),"&lt;/p&gt;",""),"&lt;ul&gt;",""),"&lt;/ul&gt;",""),"&lt;/strong&gt;",""))</f>
        <v/>
      </c>
      <c r="I154" s="9" cm="1" t="str">
        <f t="array" ref="I154">IF(C154="","",IF(OR(H154="",H154=0,H154=FALSE),"-",H154))</f>
        <v/>
      </c>
      <c r="J154">
</c>
      <c r="K154">
</c>
      <c r="L154" s="4" cm="1" t="str">
        <f t="array" ref="L154">IF(C154="","",IF(K154="Mort / Plus rien à faire","KO","OK"))</f>
        <v/>
      </c>
      <c r="M154" s="14">
</c>
      <c r="N154" s="10" cm="1" t="str">
        <f t="array" ref="N154">IF(OR(C154="",M154="",M154=0),"",M154)</f>
        <v/>
      </c>
      <c r="O154" s="14">
</c>
      <c r="P154" s="10" cm="1" t="str">
        <f t="array" ref="P154">IF(C154="","",IF(OR(O154="",O154=0),"-",O154))</f>
        <v/>
      </c>
      <c r="Q154" s="15">
</c>
      <c r="R154" s="4" cm="1" t="str">
        <f t="array" ref="R154">IF(C154="","",ROUND(Q154/1000000,3)&amp;" M€")</f>
        <v/>
      </c>
      <c r="S154" s="16">
</c>
      <c r="T154" s="4" cm="1" t="str">
        <f t="array" ref="T154">IF(C154="","",SUBSTITUTE(S154,"","")&amp;"%")</f>
        <v/>
      </c>
      <c r="U154" s="4" cm="1" t="str">
        <f t="array" ref="U154">IF(($N154="")*($P154=""),"",IF(($N154&lt;&gt;"")*($N154&gt;TODAY()-9)*($N154&lt;TODAY()+1)*($P154&lt;&gt;"")*($P154&gt;=TODAY())*($P154&lt;=TODAY()+13),"Semaine passée &amp; à venir",IF(($N154&lt;&gt;"")*($N154&gt;TODAY()-9)*($N154&lt;TODAY()+1),"Semaine passée",IF(($P154&lt;&gt;"")*($P154&gt;=TODAY())*($P154&lt;=TODAY()+13),"À venir","Autre"))))</f>
        <v/>
      </c>
      <c r="V154" cm="1" t="n">
        <f t="array" ref="V154">IF(C154&lt;&gt;"",1,0)</f>
        <v>0</v>
      </c>
    </row>
    <row r="155" ht="78.75" customHeight="1">
      <c r="A155">
</c>
      <c r="B155">
</c>
      <c r="C155" s="13">
</c>
      <c r="D155" s="13">
</c>
      <c r="E155">
</c>
      <c r="F155">
</c>
      <c r="G155" s="9" cm="1" t="str">
        <f t="array" ref="G155">IF(F155="","",SUBSTITUTE(SUBSTITUTE(SUBSTITUTE(SUBSTITUTE(F155,"&lt;li&gt;",CHAR(10)),"&lt;/li&gt;",""),"&lt;br&gt;",CHAR(10)),"&lt;strong&gt;",""))</f>
        <v/>
      </c>
      <c r="H155" s="9" cm="1" t="str">
        <f t="array" ref="H155">IF(G155="","",SUBSTITUTE(SUBSTITUTE(SUBSTITUTE(SUBSTITUTE(SUBSTITUTE(G155,"&lt;p&gt;",""),"&lt;/p&gt;",""),"&lt;ul&gt;",""),"&lt;/ul&gt;",""),"&lt;/strong&gt;",""))</f>
        <v/>
      </c>
      <c r="I155" s="9" cm="1" t="str">
        <f t="array" ref="I155">IF(C155="","",IF(OR(H155="",H155=0,H155=FALSE),"-",H155))</f>
        <v/>
      </c>
      <c r="J155">
</c>
      <c r="K155">
</c>
      <c r="L155" s="4" cm="1" t="str">
        <f t="array" ref="L155">IF(C155="","",IF(K155="Mort / Plus rien à faire","KO","OK"))</f>
        <v/>
      </c>
      <c r="M155" s="14">
</c>
      <c r="N155" s="10" cm="1" t="str">
        <f t="array" ref="N155">IF(OR(C155="",M155="",M155=0),"",M155)</f>
        <v/>
      </c>
      <c r="O155" s="14">
</c>
      <c r="P155" s="10" cm="1" t="str">
        <f t="array" ref="P155">IF(C155="","",IF(OR(O155="",O155=0),"-",O155))</f>
        <v/>
      </c>
      <c r="Q155" s="15">
</c>
      <c r="R155" s="4" cm="1" t="str">
        <f t="array" ref="R155">IF(C155="","",ROUND(Q155/1000000,3)&amp;" M€")</f>
        <v/>
      </c>
      <c r="S155" s="16">
</c>
      <c r="T155" s="4" cm="1" t="str">
        <f t="array" ref="T155">IF(C155="","",SUBSTITUTE(S155,"","")&amp;"%")</f>
        <v/>
      </c>
      <c r="U155" s="4" cm="1" t="str">
        <f t="array" ref="U155">IF(($N155="")*($P155=""),"",IF(($N155&lt;&gt;"")*($N155&gt;TODAY()-9)*($N155&lt;TODAY()+1)*($P155&lt;&gt;"")*($P155&gt;=TODAY())*($P155&lt;=TODAY()+13),"Semaine passée &amp; à venir",IF(($N155&lt;&gt;"")*($N155&gt;TODAY()-9)*($N155&lt;TODAY()+1),"Semaine passée",IF(($P155&lt;&gt;"")*($P155&gt;=TODAY())*($P155&lt;=TODAY()+13),"À venir","Autre"))))</f>
        <v/>
      </c>
      <c r="V155" cm="1" t="n">
        <f t="array" ref="V155">IF(C155&lt;&gt;"",1,0)</f>
        <v>0</v>
      </c>
    </row>
    <row r="156" ht="78.75" customHeight="1">
      <c r="A156">
</c>
      <c r="B156">
</c>
      <c r="C156" s="13">
</c>
      <c r="D156" s="13">
</c>
      <c r="E156">
</c>
      <c r="F156">
</c>
      <c r="G156" s="9" cm="1" t="str">
        <f t="array" ref="G156">IF(F156="","",SUBSTITUTE(SUBSTITUTE(SUBSTITUTE(SUBSTITUTE(F156,"&lt;li&gt;",CHAR(10)),"&lt;/li&gt;",""),"&lt;br&gt;",CHAR(10)),"&lt;strong&gt;",""))</f>
        <v/>
      </c>
      <c r="H156" s="9" cm="1" t="str">
        <f t="array" ref="H156">IF(G156="","",SUBSTITUTE(SUBSTITUTE(SUBSTITUTE(SUBSTITUTE(SUBSTITUTE(G156,"&lt;p&gt;",""),"&lt;/p&gt;",""),"&lt;ul&gt;",""),"&lt;/ul&gt;",""),"&lt;/strong&gt;",""))</f>
        <v/>
      </c>
      <c r="I156" s="9" cm="1" t="str">
        <f t="array" ref="I156">IF(C156="","",IF(OR(H156="",H156=0,H156=FALSE),"-",H156))</f>
        <v/>
      </c>
      <c r="J156">
</c>
      <c r="K156">
</c>
      <c r="L156" s="4" cm="1" t="str">
        <f t="array" ref="L156">IF(C156="","",IF(K156="Mort / Plus rien à faire","KO","OK"))</f>
        <v/>
      </c>
      <c r="M156" s="14">
</c>
      <c r="N156" s="10" cm="1" t="str">
        <f t="array" ref="N156">IF(OR(C156="",M156="",M156=0),"",M156)</f>
        <v/>
      </c>
      <c r="O156" s="14">
</c>
      <c r="P156" s="10" cm="1" t="str">
        <f t="array" ref="P156">IF(C156="","",IF(OR(O156="",O156=0),"-",O156))</f>
        <v/>
      </c>
      <c r="Q156" s="15">
</c>
      <c r="R156" s="4" cm="1" t="str">
        <f t="array" ref="R156">IF(C156="","",ROUND(Q156/1000000,3)&amp;" M€")</f>
        <v/>
      </c>
      <c r="S156" s="16">
</c>
      <c r="T156" s="4" cm="1" t="str">
        <f t="array" ref="T156">IF(C156="","",SUBSTITUTE(S156,"","")&amp;"%")</f>
        <v/>
      </c>
      <c r="U156" s="4" cm="1" t="str">
        <f t="array" ref="U156">IF(($N156="")*($P156=""),"",IF(($N156&lt;&gt;"")*($N156&gt;TODAY()-9)*($N156&lt;TODAY()+1)*($P156&lt;&gt;"")*($P156&gt;=TODAY())*($P156&lt;=TODAY()+13),"Semaine passée &amp; à venir",IF(($N156&lt;&gt;"")*($N156&gt;TODAY()-9)*($N156&lt;TODAY()+1),"Semaine passée",IF(($P156&lt;&gt;"")*($P156&gt;=TODAY())*($P156&lt;=TODAY()+13),"À venir","Autre"))))</f>
        <v/>
      </c>
      <c r="V156" cm="1" t="n">
        <f t="array" ref="V156">IF(C156&lt;&gt;"",1,0)</f>
        <v>0</v>
      </c>
    </row>
    <row r="157" ht="78.75" customHeight="1">
      <c r="A157">
</c>
      <c r="B157">
</c>
      <c r="C157" s="13">
</c>
      <c r="D157" s="13">
</c>
      <c r="E157">
</c>
      <c r="F157">
</c>
      <c r="G157" s="9" cm="1" t="str">
        <f t="array" ref="G157">IF(F157="","",SUBSTITUTE(SUBSTITUTE(SUBSTITUTE(SUBSTITUTE(F157,"&lt;li&gt;",CHAR(10)),"&lt;/li&gt;",""),"&lt;br&gt;",CHAR(10)),"&lt;strong&gt;",""))</f>
        <v/>
      </c>
      <c r="H157" s="9" cm="1" t="str">
        <f t="array" ref="H157">IF(G157="","",SUBSTITUTE(SUBSTITUTE(SUBSTITUTE(SUBSTITUTE(SUBSTITUTE(G157,"&lt;p&gt;",""),"&lt;/p&gt;",""),"&lt;ul&gt;",""),"&lt;/ul&gt;",""),"&lt;/strong&gt;",""))</f>
        <v/>
      </c>
      <c r="I157" s="9" cm="1" t="str">
        <f t="array" ref="I157">IF(C157="","",IF(OR(H157="",H157=0,H157=FALSE),"-",H157))</f>
        <v/>
      </c>
      <c r="J157">
</c>
      <c r="K157">
</c>
      <c r="L157" s="4" cm="1" t="str">
        <f t="array" ref="L157">IF(C157="","",IF(K157="Mort / Plus rien à faire","KO","OK"))</f>
        <v/>
      </c>
      <c r="M157" s="14">
</c>
      <c r="N157" s="10" cm="1" t="str">
        <f t="array" ref="N157">IF(OR(C157="",M157="",M157=0),"",M157)</f>
        <v/>
      </c>
      <c r="O157" s="14">
</c>
      <c r="P157" s="10" cm="1" t="str">
        <f t="array" ref="P157">IF(C157="","",IF(OR(O157="",O157=0),"-",O157))</f>
        <v/>
      </c>
      <c r="Q157" s="15">
</c>
      <c r="R157" s="4" cm="1" t="str">
        <f t="array" ref="R157">IF(C157="","",ROUND(Q157/1000000,3)&amp;" M€")</f>
        <v/>
      </c>
      <c r="S157" s="16">
</c>
      <c r="T157" s="4" cm="1" t="str">
        <f t="array" ref="T157">IF(C157="","",SUBSTITUTE(S157,"","")&amp;"%")</f>
        <v/>
      </c>
      <c r="U157" s="4" cm="1" t="str">
        <f t="array" ref="U157">IF(($N157="")*($P157=""),"",IF(($N157&lt;&gt;"")*($N157&gt;TODAY()-9)*($N157&lt;TODAY()+1)*($P157&lt;&gt;"")*($P157&gt;=TODAY())*($P157&lt;=TODAY()+13),"Semaine passée &amp; à venir",IF(($N157&lt;&gt;"")*($N157&gt;TODAY()-9)*($N157&lt;TODAY()+1),"Semaine passée",IF(($P157&lt;&gt;"")*($P157&gt;=TODAY())*($P157&lt;=TODAY()+13),"À venir","Autre"))))</f>
        <v/>
      </c>
      <c r="V157" cm="1" t="n">
        <f t="array" ref="V157">IF(C157&lt;&gt;"",1,0)</f>
        <v>0</v>
      </c>
    </row>
    <row r="158" ht="78.75" customHeight="1">
      <c r="A158">
</c>
      <c r="B158">
</c>
      <c r="C158" s="13">
</c>
      <c r="D158" s="13">
</c>
      <c r="E158">
</c>
      <c r="F158">
</c>
      <c r="G158" s="9" cm="1" t="str">
        <f t="array" ref="G158">IF(F158="","",SUBSTITUTE(SUBSTITUTE(SUBSTITUTE(SUBSTITUTE(F158,"&lt;li&gt;",CHAR(10)),"&lt;/li&gt;",""),"&lt;br&gt;",CHAR(10)),"&lt;strong&gt;",""))</f>
        <v/>
      </c>
      <c r="H158" s="9" cm="1" t="str">
        <f t="array" ref="H158">IF(G158="","",SUBSTITUTE(SUBSTITUTE(SUBSTITUTE(SUBSTITUTE(SUBSTITUTE(G158,"&lt;p&gt;",""),"&lt;/p&gt;",""),"&lt;ul&gt;",""),"&lt;/ul&gt;",""),"&lt;/strong&gt;",""))</f>
        <v/>
      </c>
      <c r="I158" s="9" cm="1" t="str">
        <f t="array" ref="I158">IF(C158="","",IF(OR(H158="",H158=0,H158=FALSE),"-",H158))</f>
        <v/>
      </c>
      <c r="J158">
</c>
      <c r="K158">
</c>
      <c r="L158" s="4" cm="1" t="str">
        <f t="array" ref="L158">IF(C158="","",IF(K158="Mort / Plus rien à faire","KO","OK"))</f>
        <v/>
      </c>
      <c r="M158" s="14">
</c>
      <c r="N158" s="10" cm="1" t="str">
        <f t="array" ref="N158">IF(OR(C158="",M158="",M158=0),"",M158)</f>
        <v/>
      </c>
      <c r="O158" s="14">
</c>
      <c r="P158" s="10" cm="1" t="str">
        <f t="array" ref="P158">IF(C158="","",IF(OR(O158="",O158=0),"-",O158))</f>
        <v/>
      </c>
      <c r="Q158" s="15">
</c>
      <c r="R158" s="4" cm="1" t="str">
        <f t="array" ref="R158">IF(C158="","",ROUND(Q158/1000000,3)&amp;" M€")</f>
        <v/>
      </c>
      <c r="S158" s="16">
</c>
      <c r="T158" s="4" cm="1" t="str">
        <f t="array" ref="T158">IF(C158="","",SUBSTITUTE(S158,"","")&amp;"%")</f>
        <v/>
      </c>
      <c r="U158" s="4" cm="1" t="str">
        <f t="array" ref="U158">IF(($N158="")*($P158=""),"",IF(($N158&lt;&gt;"")*($N158&gt;TODAY()-9)*($N158&lt;TODAY()+1)*($P158&lt;&gt;"")*($P158&gt;=TODAY())*($P158&lt;=TODAY()+13),"Semaine passée &amp; à venir",IF(($N158&lt;&gt;"")*($N158&gt;TODAY()-9)*($N158&lt;TODAY()+1),"Semaine passée",IF(($P158&lt;&gt;"")*($P158&gt;=TODAY())*($P158&lt;=TODAY()+13),"À venir","Autre"))))</f>
        <v/>
      </c>
      <c r="V158" cm="1" t="n">
        <f t="array" ref="V158">IF(C158&lt;&gt;"",1,0)</f>
        <v>0</v>
      </c>
    </row>
    <row r="159" ht="78.75" customHeight="1">
      <c r="A159">
</c>
      <c r="B159">
</c>
      <c r="C159" s="13">
</c>
      <c r="D159" s="13">
</c>
      <c r="E159">
</c>
      <c r="F159">
</c>
      <c r="G159" s="9" cm="1" t="str">
        <f t="array" ref="G159">IF(F159="","",SUBSTITUTE(SUBSTITUTE(SUBSTITUTE(SUBSTITUTE(F159,"&lt;li&gt;",CHAR(10)),"&lt;/li&gt;",""),"&lt;br&gt;",CHAR(10)),"&lt;strong&gt;",""))</f>
        <v/>
      </c>
      <c r="H159" s="9" cm="1" t="str">
        <f t="array" ref="H159">IF(G159="","",SUBSTITUTE(SUBSTITUTE(SUBSTITUTE(SUBSTITUTE(SUBSTITUTE(G159,"&lt;p&gt;",""),"&lt;/p&gt;",""),"&lt;ul&gt;",""),"&lt;/ul&gt;",""),"&lt;/strong&gt;",""))</f>
        <v/>
      </c>
      <c r="I159" s="9" cm="1" t="str">
        <f t="array" ref="I159">IF(C159="","",IF(OR(H159="",H159=0,H159=FALSE),"-",H159))</f>
        <v/>
      </c>
      <c r="J159">
</c>
      <c r="K159">
</c>
      <c r="L159" s="4" cm="1" t="str">
        <f t="array" ref="L159">IF(C159="","",IF(K159="Mort / Plus rien à faire","KO","OK"))</f>
        <v/>
      </c>
      <c r="M159" s="14">
</c>
      <c r="N159" s="10" cm="1" t="str">
        <f t="array" ref="N159">IF(OR(C159="",M159="",M159=0),"",M159)</f>
        <v/>
      </c>
      <c r="O159" s="14">
</c>
      <c r="P159" s="10" cm="1" t="str">
        <f t="array" ref="P159">IF(C159="","",IF(OR(O159="",O159=0),"-",O159))</f>
        <v/>
      </c>
      <c r="Q159" s="15">
</c>
      <c r="R159" s="4" cm="1" t="str">
        <f t="array" ref="R159">IF(C159="","",ROUND(Q159/1000000,3)&amp;" M€")</f>
        <v/>
      </c>
      <c r="S159" s="16">
</c>
      <c r="T159" s="4" cm="1" t="str">
        <f t="array" ref="T159">IF(C159="","",SUBSTITUTE(S159,"","")&amp;"%")</f>
        <v/>
      </c>
      <c r="U159" s="4" cm="1" t="str">
        <f t="array" ref="U159">IF(($N159="")*($P159=""),"",IF(($N159&lt;&gt;"")*($N159&gt;TODAY()-9)*($N159&lt;TODAY()+1)*($P159&lt;&gt;"")*($P159&gt;=TODAY())*($P159&lt;=TODAY()+13),"Semaine passée &amp; à venir",IF(($N159&lt;&gt;"")*($N159&gt;TODAY()-9)*($N159&lt;TODAY()+1),"Semaine passée",IF(($P159&lt;&gt;"")*($P159&gt;=TODAY())*($P159&lt;=TODAY()+13),"À venir","Autre"))))</f>
        <v/>
      </c>
      <c r="V159" cm="1" t="n">
        <f t="array" ref="V159">IF(C159&lt;&gt;"",1,0)</f>
        <v>0</v>
      </c>
    </row>
    <row r="160" ht="78.75" customHeight="1">
      <c r="A160">
</c>
      <c r="B160">
</c>
      <c r="C160" s="13">
</c>
      <c r="D160" s="13">
</c>
      <c r="E160">
</c>
      <c r="F160">
</c>
      <c r="G160" s="9" cm="1" t="str">
        <f t="array" ref="G160">IF(F160="","",SUBSTITUTE(SUBSTITUTE(SUBSTITUTE(SUBSTITUTE(F160,"&lt;li&gt;",CHAR(10)),"&lt;/li&gt;",""),"&lt;br&gt;",CHAR(10)),"&lt;strong&gt;",""))</f>
        <v/>
      </c>
      <c r="H160" s="9" cm="1" t="str">
        <f t="array" ref="H160">IF(G160="","",SUBSTITUTE(SUBSTITUTE(SUBSTITUTE(SUBSTITUTE(SUBSTITUTE(G160,"&lt;p&gt;",""),"&lt;/p&gt;",""),"&lt;ul&gt;",""),"&lt;/ul&gt;",""),"&lt;/strong&gt;",""))</f>
        <v/>
      </c>
      <c r="I160" s="9" cm="1" t="str">
        <f t="array" ref="I160">IF(C160="","",IF(OR(H160="",H160=0,H160=FALSE),"-",H160))</f>
        <v/>
      </c>
      <c r="J160">
</c>
      <c r="K160">
</c>
      <c r="L160" s="4" cm="1" t="str">
        <f t="array" ref="L160">IF(C160="","",IF(K160="Mort / Plus rien à faire","KO","OK"))</f>
        <v/>
      </c>
      <c r="M160" s="14">
</c>
      <c r="N160" s="10" cm="1" t="str">
        <f t="array" ref="N160">IF(OR(C160="",M160="",M160=0),"",M160)</f>
        <v/>
      </c>
      <c r="O160" s="14">
</c>
      <c r="P160" s="10" cm="1" t="str">
        <f t="array" ref="P160">IF(C160="","",IF(OR(O160="",O160=0),"-",O160))</f>
        <v/>
      </c>
      <c r="Q160" s="15">
</c>
      <c r="R160" s="4" cm="1" t="str">
        <f t="array" ref="R160">IF(C160="","",ROUND(Q160/1000000,3)&amp;" M€")</f>
        <v/>
      </c>
      <c r="S160" s="16">
</c>
      <c r="T160" s="4" cm="1" t="str">
        <f t="array" ref="T160">IF(C160="","",SUBSTITUTE(S160,"","")&amp;"%")</f>
        <v/>
      </c>
      <c r="U160" s="4" cm="1" t="str">
        <f t="array" ref="U160">IF(($N160="")*($P160=""),"",IF(($N160&lt;&gt;"")*($N160&gt;TODAY()-9)*($N160&lt;TODAY()+1)*($P160&lt;&gt;"")*($P160&gt;=TODAY())*($P160&lt;=TODAY()+13),"Semaine passée &amp; à venir",IF(($N160&lt;&gt;"")*($N160&gt;TODAY()-9)*($N160&lt;TODAY()+1),"Semaine passée",IF(($P160&lt;&gt;"")*($P160&gt;=TODAY())*($P160&lt;=TODAY()+13),"À venir","Autre"))))</f>
        <v/>
      </c>
      <c r="V160" cm="1" t="n">
        <f t="array" ref="V160">IF(C160&lt;&gt;"",1,0)</f>
        <v>0</v>
      </c>
    </row>
    <row r="161" ht="78.75" customHeight="1">
      <c r="A161">
</c>
      <c r="B161">
</c>
      <c r="C161" s="13">
</c>
      <c r="D161" s="13">
</c>
      <c r="E161">
</c>
      <c r="F161">
</c>
      <c r="G161" s="9" cm="1" t="str">
        <f t="array" ref="G161">IF(F161="","",SUBSTITUTE(SUBSTITUTE(SUBSTITUTE(SUBSTITUTE(F161,"&lt;li&gt;",CHAR(10)),"&lt;/li&gt;",""),"&lt;br&gt;",CHAR(10)),"&lt;strong&gt;",""))</f>
        <v/>
      </c>
      <c r="H161" s="9" cm="1" t="str">
        <f t="array" ref="H161">IF(G161="","",SUBSTITUTE(SUBSTITUTE(SUBSTITUTE(SUBSTITUTE(SUBSTITUTE(G161,"&lt;p&gt;",""),"&lt;/p&gt;",""),"&lt;ul&gt;",""),"&lt;/ul&gt;",""),"&lt;/strong&gt;",""))</f>
        <v/>
      </c>
      <c r="I161" s="9" cm="1" t="str">
        <f t="array" ref="I161">IF(C161="","",IF(OR(H161="",H161=0,H161=FALSE),"-",H161))</f>
        <v/>
      </c>
      <c r="J161">
</c>
      <c r="K161">
</c>
      <c r="L161" s="4" cm="1" t="str">
        <f t="array" ref="L161">IF(C161="","",IF(K161="Mort / Plus rien à faire","KO","OK"))</f>
        <v/>
      </c>
      <c r="M161" s="14">
</c>
      <c r="N161" s="10" cm="1" t="str">
        <f t="array" ref="N161">IF(OR(C161="",M161="",M161=0),"",M161)</f>
        <v/>
      </c>
      <c r="O161" s="14">
</c>
      <c r="P161" s="10" cm="1" t="str">
        <f t="array" ref="P161">IF(C161="","",IF(OR(O161="",O161=0),"-",O161))</f>
        <v/>
      </c>
      <c r="Q161" s="15">
</c>
      <c r="R161" s="4" cm="1" t="str">
        <f t="array" ref="R161">IF(C161="","",ROUND(Q161/1000000,3)&amp;" M€")</f>
        <v/>
      </c>
      <c r="S161" s="16">
</c>
      <c r="T161" s="4" cm="1" t="str">
        <f t="array" ref="T161">IF(C161="","",SUBSTITUTE(S161,"","")&amp;"%")</f>
        <v/>
      </c>
      <c r="U161" s="4" cm="1" t="str">
        <f t="array" ref="U161">IF(($N161="")*($P161=""),"",IF(($N161&lt;&gt;"")*($N161&gt;TODAY()-9)*($N161&lt;TODAY()+1)*($P161&lt;&gt;"")*($P161&gt;=TODAY())*($P161&lt;=TODAY()+13),"Semaine passée &amp; à venir",IF(($N161&lt;&gt;"")*($N161&gt;TODAY()-9)*($N161&lt;TODAY()+1),"Semaine passée",IF(($P161&lt;&gt;"")*($P161&gt;=TODAY())*($P161&lt;=TODAY()+13),"À venir","Autre"))))</f>
        <v/>
      </c>
      <c r="V161" cm="1" t="n">
        <f t="array" ref="V161">IF(C161&lt;&gt;"",1,0)</f>
        <v>0</v>
      </c>
    </row>
    <row r="162" ht="78.75" customHeight="1">
      <c r="A162">
</c>
      <c r="B162">
</c>
      <c r="C162" s="13">
</c>
      <c r="D162" s="13">
</c>
      <c r="E162">
</c>
      <c r="F162">
</c>
      <c r="G162" s="9" cm="1" t="str">
        <f t="array" ref="G162">IF(F162="","",SUBSTITUTE(SUBSTITUTE(SUBSTITUTE(SUBSTITUTE(F162,"&lt;li&gt;",CHAR(10)),"&lt;/li&gt;",""),"&lt;br&gt;",CHAR(10)),"&lt;strong&gt;",""))</f>
        <v/>
      </c>
      <c r="H162" s="9" cm="1" t="str">
        <f t="array" ref="H162">IF(G162="","",SUBSTITUTE(SUBSTITUTE(SUBSTITUTE(SUBSTITUTE(SUBSTITUTE(G162,"&lt;p&gt;",""),"&lt;/p&gt;",""),"&lt;ul&gt;",""),"&lt;/ul&gt;",""),"&lt;/strong&gt;",""))</f>
        <v/>
      </c>
      <c r="I162" s="9" cm="1" t="str">
        <f t="array" ref="I162">IF(C162="","",IF(OR(H162="",H162=0,H162=FALSE),"-",H162))</f>
        <v/>
      </c>
      <c r="J162">
</c>
      <c r="K162">
</c>
      <c r="L162" s="4" cm="1" t="str">
        <f t="array" ref="L162">IF(C162="","",IF(K162="Mort / Plus rien à faire","KO","OK"))</f>
        <v/>
      </c>
      <c r="M162" s="14">
</c>
      <c r="N162" s="10" cm="1" t="str">
        <f t="array" ref="N162">IF(OR(C162="",M162="",M162=0),"",M162)</f>
        <v/>
      </c>
      <c r="O162" s="14">
</c>
      <c r="P162" s="10" cm="1" t="str">
        <f t="array" ref="P162">IF(C162="","",IF(OR(O162="",O162=0),"-",O162))</f>
        <v/>
      </c>
      <c r="Q162" s="15">
</c>
      <c r="R162" s="4" cm="1" t="str">
        <f t="array" ref="R162">IF(C162="","",ROUND(Q162/1000000,3)&amp;" M€")</f>
        <v/>
      </c>
      <c r="S162" s="16">
</c>
      <c r="T162" s="4" cm="1" t="str">
        <f t="array" ref="T162">IF(C162="","",SUBSTITUTE(S162,"","")&amp;"%")</f>
        <v/>
      </c>
      <c r="U162" s="4" cm="1" t="str">
        <f t="array" ref="U162">IF(($N162="")*($P162=""),"",IF(($N162&lt;&gt;"")*($N162&gt;TODAY()-9)*($N162&lt;TODAY()+1)*($P162&lt;&gt;"")*($P162&gt;=TODAY())*($P162&lt;=TODAY()+13),"Semaine passée &amp; à venir",IF(($N162&lt;&gt;"")*($N162&gt;TODAY()-9)*($N162&lt;TODAY()+1),"Semaine passée",IF(($P162&lt;&gt;"")*($P162&gt;=TODAY())*($P162&lt;=TODAY()+13),"À venir","Autre"))))</f>
        <v/>
      </c>
      <c r="V162" cm="1" t="n">
        <f t="array" ref="V162">IF(C162&lt;&gt;"",1,0)</f>
        <v>0</v>
      </c>
    </row>
    <row r="163" ht="78.75" customHeight="1">
      <c r="A163">
</c>
      <c r="B163">
</c>
      <c r="C163" s="13">
</c>
      <c r="D163" s="13">
</c>
      <c r="E163">
</c>
      <c r="F163">
</c>
      <c r="G163" s="9" cm="1" t="str">
        <f t="array" ref="G163">IF(F163="","",SUBSTITUTE(SUBSTITUTE(SUBSTITUTE(SUBSTITUTE(F163,"&lt;li&gt;",CHAR(10)),"&lt;/li&gt;",""),"&lt;br&gt;",CHAR(10)),"&lt;strong&gt;",""))</f>
        <v/>
      </c>
      <c r="H163" s="9" cm="1" t="str">
        <f t="array" ref="H163">IF(G163="","",SUBSTITUTE(SUBSTITUTE(SUBSTITUTE(SUBSTITUTE(SUBSTITUTE(G163,"&lt;p&gt;",""),"&lt;/p&gt;",""),"&lt;ul&gt;",""),"&lt;/ul&gt;",""),"&lt;/strong&gt;",""))</f>
        <v/>
      </c>
      <c r="I163" s="9" cm="1" t="str">
        <f t="array" ref="I163">IF(C163="","",IF(OR(H163="",H163=0,H163=FALSE),"-",H163))</f>
        <v/>
      </c>
      <c r="J163">
</c>
      <c r="K163">
</c>
      <c r="L163" s="4" cm="1" t="str">
        <f t="array" ref="L163">IF(C163="","",IF(K163="Mort / Plus rien à faire","KO","OK"))</f>
        <v/>
      </c>
      <c r="M163" s="14">
</c>
      <c r="N163" s="10" cm="1" t="str">
        <f t="array" ref="N163">IF(OR(C163="",M163="",M163=0),"",M163)</f>
        <v/>
      </c>
      <c r="O163" s="14">
</c>
      <c r="P163" s="10" cm="1" t="str">
        <f t="array" ref="P163">IF(C163="","",IF(OR(O163="",O163=0),"-",O163))</f>
        <v/>
      </c>
      <c r="Q163" s="15">
</c>
      <c r="R163" s="4" cm="1" t="str">
        <f t="array" ref="R163">IF(C163="","",ROUND(Q163/1000000,3)&amp;" M€")</f>
        <v/>
      </c>
      <c r="S163" s="16">
</c>
      <c r="T163" s="4" cm="1" t="str">
        <f t="array" ref="T163">IF(C163="","",SUBSTITUTE(S163,"","")&amp;"%")</f>
        <v/>
      </c>
      <c r="U163" s="4" cm="1" t="str">
        <f t="array" ref="U163">IF(($N163="")*($P163=""),"",IF(($N163&lt;&gt;"")*($N163&gt;TODAY()-9)*($N163&lt;TODAY()+1)*($P163&lt;&gt;"")*($P163&gt;=TODAY())*($P163&lt;=TODAY()+13),"Semaine passée &amp; à venir",IF(($N163&lt;&gt;"")*($N163&gt;TODAY()-9)*($N163&lt;TODAY()+1),"Semaine passée",IF(($P163&lt;&gt;"")*($P163&gt;=TODAY())*($P163&lt;=TODAY()+13),"À venir","Autre"))))</f>
        <v/>
      </c>
      <c r="V163" cm="1" t="n">
        <f t="array" ref="V163">IF(C163&lt;&gt;"",1,0)</f>
        <v>0</v>
      </c>
    </row>
    <row r="164" ht="78.75" customHeight="1">
      <c r="A164">
</c>
      <c r="B164">
</c>
      <c r="C164" s="13">
</c>
      <c r="D164" s="13">
</c>
      <c r="E164">
</c>
      <c r="F164">
</c>
      <c r="G164" s="9" cm="1" t="str">
        <f t="array" ref="G164">IF(F164="","",SUBSTITUTE(SUBSTITUTE(SUBSTITUTE(SUBSTITUTE(F164,"&lt;li&gt;",CHAR(10)),"&lt;/li&gt;",""),"&lt;br&gt;",CHAR(10)),"&lt;strong&gt;",""))</f>
        <v/>
      </c>
      <c r="H164" s="9" cm="1" t="str">
        <f t="array" ref="H164">IF(G164="","",SUBSTITUTE(SUBSTITUTE(SUBSTITUTE(SUBSTITUTE(SUBSTITUTE(G164,"&lt;p&gt;",""),"&lt;/p&gt;",""),"&lt;ul&gt;",""),"&lt;/ul&gt;",""),"&lt;/strong&gt;",""))</f>
        <v/>
      </c>
      <c r="I164" s="9" cm="1" t="str">
        <f t="array" ref="I164">IF(C164="","",IF(OR(H164="",H164=0,H164=FALSE),"-",H164))</f>
        <v/>
      </c>
      <c r="J164">
</c>
      <c r="K164">
</c>
      <c r="L164" s="4" cm="1" t="str">
        <f t="array" ref="L164">IF(C164="","",IF(K164="Mort / Plus rien à faire","KO","OK"))</f>
        <v/>
      </c>
      <c r="M164" s="14">
</c>
      <c r="N164" s="10" cm="1" t="str">
        <f t="array" ref="N164">IF(OR(C164="",M164="",M164=0),"",M164)</f>
        <v/>
      </c>
      <c r="O164" s="14">
</c>
      <c r="P164" s="10" cm="1" t="str">
        <f t="array" ref="P164">IF(C164="","",IF(OR(O164="",O164=0),"-",O164))</f>
        <v/>
      </c>
      <c r="Q164" s="15">
</c>
      <c r="R164" s="4" cm="1" t="str">
        <f t="array" ref="R164">IF(C164="","",ROUND(Q164/1000000,3)&amp;" M€")</f>
        <v/>
      </c>
      <c r="S164" s="16">
</c>
      <c r="T164" s="4" cm="1" t="str">
        <f t="array" ref="T164">IF(C164="","",SUBSTITUTE(S164,"","")&amp;"%")</f>
        <v/>
      </c>
      <c r="U164" s="4" cm="1" t="str">
        <f t="array" ref="U164">IF(($N164="")*($P164=""),"",IF(($N164&lt;&gt;"")*($N164&gt;TODAY()-9)*($N164&lt;TODAY()+1)*($P164&lt;&gt;"")*($P164&gt;=TODAY())*($P164&lt;=TODAY()+13),"Semaine passée &amp; à venir",IF(($N164&lt;&gt;"")*($N164&gt;TODAY()-9)*($N164&lt;TODAY()+1),"Semaine passée",IF(($P164&lt;&gt;"")*($P164&gt;=TODAY())*($P164&lt;=TODAY()+13),"À venir","Autre"))))</f>
        <v/>
      </c>
      <c r="V164" cm="1" t="n">
        <f t="array" ref="V164">IF(C164&lt;&gt;"",1,0)</f>
        <v>0</v>
      </c>
    </row>
    <row r="165" ht="78.75" customHeight="1">
      <c r="A165">
</c>
      <c r="B165">
</c>
      <c r="C165" s="13">
</c>
      <c r="D165" s="13">
</c>
      <c r="E165">
</c>
      <c r="F165">
</c>
      <c r="G165" s="9" cm="1" t="str">
        <f t="array" ref="G165">IF(F165="","",SUBSTITUTE(SUBSTITUTE(SUBSTITUTE(SUBSTITUTE(F165,"&lt;li&gt;",CHAR(10)),"&lt;/li&gt;",""),"&lt;br&gt;",CHAR(10)),"&lt;strong&gt;",""))</f>
        <v/>
      </c>
      <c r="H165" s="9" cm="1" t="str">
        <f t="array" ref="H165">IF(G165="","",SUBSTITUTE(SUBSTITUTE(SUBSTITUTE(SUBSTITUTE(SUBSTITUTE(G165,"&lt;p&gt;",""),"&lt;/p&gt;",""),"&lt;ul&gt;",""),"&lt;/ul&gt;",""),"&lt;/strong&gt;",""))</f>
        <v/>
      </c>
      <c r="I165" s="9" cm="1" t="str">
        <f t="array" ref="I165">IF(C165="","",IF(OR(H165="",H165=0,H165=FALSE),"-",H165))</f>
        <v/>
      </c>
      <c r="J165">
</c>
      <c r="K165">
</c>
      <c r="L165" s="4" cm="1" t="str">
        <f t="array" ref="L165">IF(C165="","",IF(K165="Mort / Plus rien à faire","KO","OK"))</f>
        <v/>
      </c>
      <c r="M165" s="14">
</c>
      <c r="N165" s="10" cm="1" t="str">
        <f t="array" ref="N165">IF(OR(C165="",M165="",M165=0),"",M165)</f>
        <v/>
      </c>
      <c r="O165" s="14">
</c>
      <c r="P165" s="10" cm="1" t="str">
        <f t="array" ref="P165">IF(C165="","",IF(OR(O165="",O165=0),"-",O165))</f>
        <v/>
      </c>
      <c r="Q165" s="15">
</c>
      <c r="R165" s="4" cm="1" t="str">
        <f t="array" ref="R165">IF(C165="","",ROUND(Q165/1000000,3)&amp;" M€")</f>
        <v/>
      </c>
      <c r="S165" s="16">
</c>
      <c r="T165" s="4" cm="1" t="str">
        <f t="array" ref="T165">IF(C165="","",SUBSTITUTE(S165,"","")&amp;"%")</f>
        <v/>
      </c>
      <c r="U165" s="4" cm="1" t="str">
        <f t="array" ref="U165">IF(($N165="")*($P165=""),"",IF(($N165&lt;&gt;"")*($N165&gt;TODAY()-9)*($N165&lt;TODAY()+1)*($P165&lt;&gt;"")*($P165&gt;=TODAY())*($P165&lt;=TODAY()+13),"Semaine passée &amp; à venir",IF(($N165&lt;&gt;"")*($N165&gt;TODAY()-9)*($N165&lt;TODAY()+1),"Semaine passée",IF(($P165&lt;&gt;"")*($P165&gt;=TODAY())*($P165&lt;=TODAY()+13),"À venir","Autre"))))</f>
        <v/>
      </c>
      <c r="V165" cm="1" t="n">
        <f t="array" ref="V165">IF(C165&lt;&gt;"",1,0)</f>
        <v>0</v>
      </c>
    </row>
    <row r="166" ht="78.75" customHeight="1">
      <c r="A166">
</c>
      <c r="B166">
</c>
      <c r="C166" s="13">
</c>
      <c r="D166" s="13">
</c>
      <c r="E166">
</c>
      <c r="F166">
</c>
      <c r="G166" s="9" cm="1" t="str">
        <f t="array" ref="G166">IF(F166="","",SUBSTITUTE(SUBSTITUTE(SUBSTITUTE(SUBSTITUTE(F166,"&lt;li&gt;",CHAR(10)),"&lt;/li&gt;",""),"&lt;br&gt;",CHAR(10)),"&lt;strong&gt;",""))</f>
        <v/>
      </c>
      <c r="H166" s="9" cm="1" t="str">
        <f t="array" ref="H166">IF(G166="","",SUBSTITUTE(SUBSTITUTE(SUBSTITUTE(SUBSTITUTE(SUBSTITUTE(G166,"&lt;p&gt;",""),"&lt;/p&gt;",""),"&lt;ul&gt;",""),"&lt;/ul&gt;",""),"&lt;/strong&gt;",""))</f>
        <v/>
      </c>
      <c r="I166" s="9" cm="1" t="str">
        <f t="array" ref="I166">IF(C166="","",IF(OR(H166="",H166=0,H166=FALSE),"-",H166))</f>
        <v/>
      </c>
      <c r="J166">
</c>
      <c r="K166">
</c>
      <c r="L166" s="4" cm="1" t="str">
        <f t="array" ref="L166">IF(C166="","",IF(K166="Mort / Plus rien à faire","KO","OK"))</f>
        <v/>
      </c>
      <c r="M166" s="14">
</c>
      <c r="N166" s="10" cm="1" t="str">
        <f t="array" ref="N166">IF(OR(C166="",M166="",M166=0),"",M166)</f>
        <v/>
      </c>
      <c r="O166" s="14">
</c>
      <c r="P166" s="10" cm="1" t="str">
        <f t="array" ref="P166">IF(C166="","",IF(OR(O166="",O166=0),"-",O166))</f>
        <v/>
      </c>
      <c r="Q166" s="15">
</c>
      <c r="R166" s="4" cm="1" t="str">
        <f t="array" ref="R166">IF(C166="","",ROUND(Q166/1000000,3)&amp;" M€")</f>
        <v/>
      </c>
      <c r="S166" s="16">
</c>
      <c r="T166" s="4" cm="1" t="str">
        <f t="array" ref="T166">IF(C166="","",SUBSTITUTE(S166,"","")&amp;"%")</f>
        <v/>
      </c>
      <c r="U166" s="4" cm="1" t="str">
        <f t="array" ref="U166">IF(($N166="")*($P166=""),"",IF(($N166&lt;&gt;"")*($N166&gt;TODAY()-9)*($N166&lt;TODAY()+1)*($P166&lt;&gt;"")*($P166&gt;=TODAY())*($P166&lt;=TODAY()+13),"Semaine passée &amp; à venir",IF(($N166&lt;&gt;"")*($N166&gt;TODAY()-9)*($N166&lt;TODAY()+1),"Semaine passée",IF(($P166&lt;&gt;"")*($P166&gt;=TODAY())*($P166&lt;=TODAY()+13),"À venir","Autre"))))</f>
        <v/>
      </c>
      <c r="V166" cm="1" t="n">
        <f t="array" ref="V166">IF(C166&lt;&gt;"",1,0)</f>
        <v>0</v>
      </c>
    </row>
    <row r="167" ht="78.75" customHeight="1">
      <c r="A167">
</c>
      <c r="B167">
</c>
      <c r="C167" s="13">
</c>
      <c r="D167" s="13">
</c>
      <c r="E167">
</c>
      <c r="F167">
</c>
      <c r="G167" s="9" cm="1" t="str">
        <f t="array" ref="G167">IF(F167="","",SUBSTITUTE(SUBSTITUTE(SUBSTITUTE(SUBSTITUTE(F167,"&lt;li&gt;",CHAR(10)),"&lt;/li&gt;",""),"&lt;br&gt;",CHAR(10)),"&lt;strong&gt;",""))</f>
        <v/>
      </c>
      <c r="H167" s="9" cm="1" t="str">
        <f t="array" ref="H167">IF(G167="","",SUBSTITUTE(SUBSTITUTE(SUBSTITUTE(SUBSTITUTE(SUBSTITUTE(G167,"&lt;p&gt;",""),"&lt;/p&gt;",""),"&lt;ul&gt;",""),"&lt;/ul&gt;",""),"&lt;/strong&gt;",""))</f>
        <v/>
      </c>
      <c r="I167" s="9" cm="1" t="str">
        <f t="array" ref="I167">IF(C167="","",IF(OR(H167="",H167=0,H167=FALSE),"-",H167))</f>
        <v/>
      </c>
      <c r="J167">
</c>
      <c r="K167">
</c>
      <c r="L167" s="4" cm="1" t="str">
        <f t="array" ref="L167">IF(C167="","",IF(K167="Mort / Plus rien à faire","KO","OK"))</f>
        <v/>
      </c>
      <c r="M167" s="14">
</c>
      <c r="N167" s="10" cm="1" t="str">
        <f t="array" ref="N167">IF(OR(C167="",M167="",M167=0),"",M167)</f>
        <v/>
      </c>
      <c r="O167" s="14">
</c>
      <c r="P167" s="10" cm="1" t="str">
        <f t="array" ref="P167">IF(C167="","",IF(OR(O167="",O167=0),"-",O167))</f>
        <v/>
      </c>
      <c r="Q167" s="15">
</c>
      <c r="R167" s="4" cm="1" t="str">
        <f t="array" ref="R167">IF(C167="","",ROUND(Q167/1000000,3)&amp;" M€")</f>
        <v/>
      </c>
      <c r="S167" s="16">
</c>
      <c r="T167" s="4" cm="1" t="str">
        <f t="array" ref="T167">IF(C167="","",SUBSTITUTE(S167,"","")&amp;"%")</f>
        <v/>
      </c>
      <c r="U167" s="4" cm="1" t="str">
        <f t="array" ref="U167">IF(($N167="")*($P167=""),"",IF(($N167&lt;&gt;"")*($N167&gt;TODAY()-9)*($N167&lt;TODAY()+1)*($P167&lt;&gt;"")*($P167&gt;=TODAY())*($P167&lt;=TODAY()+13),"Semaine passée &amp; à venir",IF(($N167&lt;&gt;"")*($N167&gt;TODAY()-9)*($N167&lt;TODAY()+1),"Semaine passée",IF(($P167&lt;&gt;"")*($P167&gt;=TODAY())*($P167&lt;=TODAY()+13),"À venir","Autre"))))</f>
        <v/>
      </c>
      <c r="V167" cm="1" t="n">
        <f t="array" ref="V167">IF(C167&lt;&gt;"",1,0)</f>
        <v>0</v>
      </c>
    </row>
    <row r="168" ht="78.75" customHeight="1">
      <c r="A168">
</c>
      <c r="B168">
</c>
      <c r="C168" s="13">
</c>
      <c r="D168" s="13">
</c>
      <c r="E168">
</c>
      <c r="F168">
</c>
      <c r="G168" s="9" cm="1" t="str">
        <f t="array" ref="G168">IF(F168="","",SUBSTITUTE(SUBSTITUTE(SUBSTITUTE(SUBSTITUTE(F168,"&lt;li&gt;",CHAR(10)),"&lt;/li&gt;",""),"&lt;br&gt;",CHAR(10)),"&lt;strong&gt;",""))</f>
        <v/>
      </c>
      <c r="H168" s="9" cm="1" t="str">
        <f t="array" ref="H168">IF(G168="","",SUBSTITUTE(SUBSTITUTE(SUBSTITUTE(SUBSTITUTE(SUBSTITUTE(G168,"&lt;p&gt;",""),"&lt;/p&gt;",""),"&lt;ul&gt;",""),"&lt;/ul&gt;",""),"&lt;/strong&gt;",""))</f>
        <v/>
      </c>
      <c r="I168" s="9" cm="1" t="str">
        <f t="array" ref="I168">IF(C168="","",IF(OR(H168="",H168=0,H168=FALSE),"-",H168))</f>
        <v/>
      </c>
      <c r="J168">
</c>
      <c r="K168">
</c>
      <c r="L168" s="4" cm="1" t="str">
        <f t="array" ref="L168">IF(C168="","",IF(K168="Mort / Plus rien à faire","KO","OK"))</f>
        <v/>
      </c>
      <c r="M168" s="14">
</c>
      <c r="N168" s="10" cm="1" t="str">
        <f t="array" ref="N168">IF(OR(C168="",M168="",M168=0),"",M168)</f>
        <v/>
      </c>
      <c r="O168" s="14">
</c>
      <c r="P168" s="10" cm="1" t="str">
        <f t="array" ref="P168">IF(C168="","",IF(OR(O168="",O168=0),"-",O168))</f>
        <v/>
      </c>
      <c r="Q168" s="15">
</c>
      <c r="R168" s="4" cm="1" t="str">
        <f t="array" ref="R168">IF(C168="","",ROUND(Q168/1000000,3)&amp;" M€")</f>
        <v/>
      </c>
      <c r="S168" s="16">
</c>
      <c r="T168" s="4" cm="1" t="str">
        <f t="array" ref="T168">IF(C168="","",SUBSTITUTE(S168,"","")&amp;"%")</f>
        <v/>
      </c>
      <c r="U168" s="4" cm="1" t="str">
        <f t="array" ref="U168">IF(($N168="")*($P168=""),"",IF(($N168&lt;&gt;"")*($N168&gt;TODAY()-9)*($N168&lt;TODAY()+1)*($P168&lt;&gt;"")*($P168&gt;=TODAY())*($P168&lt;=TODAY()+13),"Semaine passée &amp; à venir",IF(($N168&lt;&gt;"")*($N168&gt;TODAY()-9)*($N168&lt;TODAY()+1),"Semaine passée",IF(($P168&lt;&gt;"")*($P168&gt;=TODAY())*($P168&lt;=TODAY()+13),"À venir","Autre"))))</f>
        <v/>
      </c>
      <c r="V168" cm="1" t="n">
        <f t="array" ref="V168">IF(C168&lt;&gt;"",1,0)</f>
        <v>0</v>
      </c>
    </row>
    <row r="169" ht="78.75" customHeight="1">
      <c r="A169">
</c>
      <c r="B169">
</c>
      <c r="C169" s="13">
</c>
      <c r="D169" s="13">
</c>
      <c r="E169">
</c>
      <c r="F169">
</c>
      <c r="G169" s="9" cm="1" t="str">
        <f t="array" ref="G169">IF(F169="","",SUBSTITUTE(SUBSTITUTE(SUBSTITUTE(SUBSTITUTE(F169,"&lt;li&gt;",CHAR(10)),"&lt;/li&gt;",""),"&lt;br&gt;",CHAR(10)),"&lt;strong&gt;",""))</f>
        <v/>
      </c>
      <c r="H169" s="9" cm="1" t="str">
        <f t="array" ref="H169">IF(G169="","",SUBSTITUTE(SUBSTITUTE(SUBSTITUTE(SUBSTITUTE(SUBSTITUTE(G169,"&lt;p&gt;",""),"&lt;/p&gt;",""),"&lt;ul&gt;",""),"&lt;/ul&gt;",""),"&lt;/strong&gt;",""))</f>
        <v/>
      </c>
      <c r="I169" s="9" cm="1" t="str">
        <f t="array" ref="I169">IF(C169="","",IF(OR(H169="",H169=0,H169=FALSE),"-",H169))</f>
        <v/>
      </c>
      <c r="J169">
</c>
      <c r="K169">
</c>
      <c r="L169" s="4" cm="1" t="str">
        <f t="array" ref="L169">IF(C169="","",IF(K169="Mort / Plus rien à faire","KO","OK"))</f>
        <v/>
      </c>
      <c r="M169" s="14">
</c>
      <c r="N169" s="10" cm="1" t="str">
        <f t="array" ref="N169">IF(OR(C169="",M169="",M169=0),"",M169)</f>
        <v/>
      </c>
      <c r="O169" s="14">
</c>
      <c r="P169" s="10" cm="1" t="str">
        <f t="array" ref="P169">IF(C169="","",IF(OR(O169="",O169=0),"-",O169))</f>
        <v/>
      </c>
      <c r="Q169" s="15">
</c>
      <c r="R169" s="4" cm="1" t="str">
        <f t="array" ref="R169">IF(C169="","",ROUND(Q169/1000000,3)&amp;" M€")</f>
        <v/>
      </c>
      <c r="S169" s="16">
</c>
      <c r="T169" s="4" cm="1" t="str">
        <f t="array" ref="T169">IF(C169="","",SUBSTITUTE(S169,"","")&amp;"%")</f>
        <v/>
      </c>
      <c r="U169" s="4" cm="1" t="str">
        <f t="array" ref="U169">IF(($N169="")*($P169=""),"",IF(($N169&lt;&gt;"")*($N169&gt;TODAY()-9)*($N169&lt;TODAY()+1)*($P169&lt;&gt;"")*($P169&gt;=TODAY())*($P169&lt;=TODAY()+13),"Semaine passée &amp; à venir",IF(($N169&lt;&gt;"")*($N169&gt;TODAY()-9)*($N169&lt;TODAY()+1),"Semaine passée",IF(($P169&lt;&gt;"")*($P169&gt;=TODAY())*($P169&lt;=TODAY()+13),"À venir","Autre"))))</f>
        <v/>
      </c>
      <c r="V169" cm="1" t="n">
        <f t="array" ref="V169">IF(C169&lt;&gt;"",1,0)</f>
        <v>0</v>
      </c>
    </row>
    <row r="170" ht="78.75" customHeight="1">
      <c r="A170">
</c>
      <c r="B170">
</c>
      <c r="C170" s="13">
</c>
      <c r="D170" s="13">
</c>
      <c r="E170">
</c>
      <c r="F170">
</c>
      <c r="G170" s="9" cm="1" t="str">
        <f t="array" ref="G170">IF(F170="","",SUBSTITUTE(SUBSTITUTE(SUBSTITUTE(SUBSTITUTE(F170,"&lt;li&gt;",CHAR(10)),"&lt;/li&gt;",""),"&lt;br&gt;",CHAR(10)),"&lt;strong&gt;",""))</f>
        <v/>
      </c>
      <c r="H170" s="9" cm="1" t="str">
        <f t="array" ref="H170">IF(G170="","",SUBSTITUTE(SUBSTITUTE(SUBSTITUTE(SUBSTITUTE(SUBSTITUTE(G170,"&lt;p&gt;",""),"&lt;/p&gt;",""),"&lt;ul&gt;",""),"&lt;/ul&gt;",""),"&lt;/strong&gt;",""))</f>
        <v/>
      </c>
      <c r="I170" s="9" cm="1" t="str">
        <f t="array" ref="I170">IF(C170="","",IF(OR(H170="",H170=0,H170=FALSE),"-",H170))</f>
        <v/>
      </c>
      <c r="J170">
</c>
      <c r="K170">
</c>
      <c r="L170" s="4" cm="1" t="str">
        <f t="array" ref="L170">IF(C170="","",IF(K170="Mort / Plus rien à faire","KO","OK"))</f>
        <v/>
      </c>
      <c r="M170" s="14">
</c>
      <c r="N170" s="10" cm="1" t="str">
        <f t="array" ref="N170">IF(OR(C170="",M170="",M170=0),"",M170)</f>
        <v/>
      </c>
      <c r="O170" s="14">
</c>
      <c r="P170" s="10" cm="1" t="str">
        <f t="array" ref="P170">IF(C170="","",IF(OR(O170="",O170=0),"-",O170))</f>
        <v/>
      </c>
      <c r="Q170" s="15">
</c>
      <c r="R170" s="4" cm="1" t="str">
        <f t="array" ref="R170">IF(C170="","",ROUND(Q170/1000000,3)&amp;" M€")</f>
        <v/>
      </c>
      <c r="S170" s="16">
</c>
      <c r="T170" s="4" cm="1" t="str">
        <f t="array" ref="T170">IF(C170="","",SUBSTITUTE(S170,"","")&amp;"%")</f>
        <v/>
      </c>
      <c r="U170" s="4" cm="1" t="str">
        <f t="array" ref="U170">IF(($N170="")*($P170=""),"",IF(($N170&lt;&gt;"")*($N170&gt;TODAY()-9)*($N170&lt;TODAY()+1)*($P170&lt;&gt;"")*($P170&gt;=TODAY())*($P170&lt;=TODAY()+13),"Semaine passée &amp; à venir",IF(($N170&lt;&gt;"")*($N170&gt;TODAY()-9)*($N170&lt;TODAY()+1),"Semaine passée",IF(($P170&lt;&gt;"")*($P170&gt;=TODAY())*($P170&lt;=TODAY()+13),"À venir","Autre"))))</f>
        <v/>
      </c>
      <c r="V170" cm="1" t="n">
        <f t="array" ref="V170">IF(C170&lt;&gt;"",1,0)</f>
        <v>0</v>
      </c>
    </row>
    <row r="171" ht="78.75" customHeight="1">
      <c r="A171">
</c>
      <c r="B171">
</c>
      <c r="C171" s="13">
</c>
      <c r="D171" s="13">
</c>
      <c r="E171">
</c>
      <c r="F171">
</c>
      <c r="G171" s="9" cm="1" t="str">
        <f t="array" ref="G171">IF(F171="","",SUBSTITUTE(SUBSTITUTE(SUBSTITUTE(SUBSTITUTE(F171,"&lt;li&gt;",CHAR(10)),"&lt;/li&gt;",""),"&lt;br&gt;",CHAR(10)),"&lt;strong&gt;",""))</f>
        <v/>
      </c>
      <c r="H171" s="9" cm="1" t="str">
        <f t="array" ref="H171">IF(G171="","",SUBSTITUTE(SUBSTITUTE(SUBSTITUTE(SUBSTITUTE(SUBSTITUTE(G171,"&lt;p&gt;",""),"&lt;/p&gt;",""),"&lt;ul&gt;",""),"&lt;/ul&gt;",""),"&lt;/strong&gt;",""))</f>
        <v/>
      </c>
      <c r="I171" s="9" cm="1" t="str">
        <f t="array" ref="I171">IF(C171="","",IF(OR(H171="",H171=0,H171=FALSE),"-",H171))</f>
        <v/>
      </c>
      <c r="J171">
</c>
      <c r="K171">
</c>
      <c r="L171" s="4" cm="1" t="str">
        <f t="array" ref="L171">IF(C171="","",IF(K171="Mort / Plus rien à faire","KO","OK"))</f>
        <v/>
      </c>
      <c r="M171" s="14">
</c>
      <c r="N171" s="10" cm="1" t="str">
        <f t="array" ref="N171">IF(OR(C171="",M171="",M171=0),"",M171)</f>
        <v/>
      </c>
      <c r="O171" s="14">
</c>
      <c r="P171" s="10" cm="1" t="str">
        <f t="array" ref="P171">IF(C171="","",IF(OR(O171="",O171=0),"-",O171))</f>
        <v/>
      </c>
      <c r="Q171" s="15">
</c>
      <c r="R171" s="4" cm="1" t="str">
        <f t="array" ref="R171">IF(C171="","",ROUND(Q171/1000000,3)&amp;" M€")</f>
        <v/>
      </c>
      <c r="S171" s="16">
</c>
      <c r="T171" s="4" cm="1" t="str">
        <f t="array" ref="T171">IF(C171="","",SUBSTITUTE(S171,"","")&amp;"%")</f>
        <v/>
      </c>
      <c r="U171" s="4" cm="1" t="str">
        <f t="array" ref="U171">IF(($N171="")*($P171=""),"",IF(($N171&lt;&gt;"")*($N171&gt;TODAY()-9)*($N171&lt;TODAY()+1)*($P171&lt;&gt;"")*($P171&gt;=TODAY())*($P171&lt;=TODAY()+13),"Semaine passée &amp; à venir",IF(($N171&lt;&gt;"")*($N171&gt;TODAY()-9)*($N171&lt;TODAY()+1),"Semaine passée",IF(($P171&lt;&gt;"")*($P171&gt;=TODAY())*($P171&lt;=TODAY()+13),"À venir","Autre"))))</f>
        <v/>
      </c>
      <c r="V171" cm="1" t="n">
        <f t="array" ref="V171">IF(C171&lt;&gt;"",1,0)</f>
        <v>0</v>
      </c>
    </row>
    <row r="172" ht="78.75" customHeight="1">
      <c r="A172">
</c>
      <c r="B172">
</c>
      <c r="C172" s="13">
</c>
      <c r="D172" s="13">
</c>
      <c r="E172">
</c>
      <c r="F172">
</c>
      <c r="G172" s="9" cm="1" t="str">
        <f t="array" ref="G172">IF(F172="","",SUBSTITUTE(SUBSTITUTE(SUBSTITUTE(SUBSTITUTE(F172,"&lt;li&gt;",CHAR(10)),"&lt;/li&gt;",""),"&lt;br&gt;",CHAR(10)),"&lt;strong&gt;",""))</f>
        <v/>
      </c>
      <c r="H172" s="9" cm="1" t="str">
        <f t="array" ref="H172">IF(G172="","",SUBSTITUTE(SUBSTITUTE(SUBSTITUTE(SUBSTITUTE(SUBSTITUTE(G172,"&lt;p&gt;",""),"&lt;/p&gt;",""),"&lt;ul&gt;",""),"&lt;/ul&gt;",""),"&lt;/strong&gt;",""))</f>
        <v/>
      </c>
      <c r="I172" s="9" cm="1" t="str">
        <f t="array" ref="I172">IF(C172="","",IF(OR(H172="",H172=0,H172=FALSE),"-",H172))</f>
        <v/>
      </c>
      <c r="J172">
</c>
      <c r="K172">
</c>
      <c r="L172" s="4" cm="1" t="str">
        <f t="array" ref="L172">IF(C172="","",IF(K172="Mort / Plus rien à faire","KO","OK"))</f>
        <v/>
      </c>
      <c r="M172" s="14">
</c>
      <c r="N172" s="10" cm="1" t="str">
        <f t="array" ref="N172">IF(OR(C172="",M172="",M172=0),"",M172)</f>
        <v/>
      </c>
      <c r="O172" s="14">
</c>
      <c r="P172" s="10" cm="1" t="str">
        <f t="array" ref="P172">IF(C172="","",IF(OR(O172="",O172=0),"-",O172))</f>
        <v/>
      </c>
      <c r="Q172" s="15">
</c>
      <c r="R172" s="4" cm="1" t="str">
        <f t="array" ref="R172">IF(C172="","",ROUND(Q172/1000000,3)&amp;" M€")</f>
        <v/>
      </c>
      <c r="S172" s="16">
</c>
      <c r="T172" s="4" cm="1" t="str">
        <f t="array" ref="T172">IF(C172="","",SUBSTITUTE(S172,"","")&amp;"%")</f>
        <v/>
      </c>
      <c r="U172" s="4" cm="1" t="str">
        <f t="array" ref="U172">IF(($N172="")*($P172=""),"",IF(($N172&lt;&gt;"")*($N172&gt;TODAY()-9)*($N172&lt;TODAY()+1)*($P172&lt;&gt;"")*($P172&gt;=TODAY())*($P172&lt;=TODAY()+13),"Semaine passée &amp; à venir",IF(($N172&lt;&gt;"")*($N172&gt;TODAY()-9)*($N172&lt;TODAY()+1),"Semaine passée",IF(($P172&lt;&gt;"")*($P172&gt;=TODAY())*($P172&lt;=TODAY()+13),"À venir","Autre"))))</f>
        <v/>
      </c>
      <c r="V172" cm="1" t="n">
        <f t="array" ref="V172">IF(C172&lt;&gt;"",1,0)</f>
        <v>0</v>
      </c>
    </row>
    <row r="173" ht="78.75" customHeight="1">
      <c r="A173">
</c>
      <c r="B173">
</c>
      <c r="C173" s="13">
</c>
      <c r="D173" s="13">
</c>
      <c r="E173">
</c>
      <c r="F173">
</c>
      <c r="G173" s="9" cm="1" t="str">
        <f t="array" ref="G173">IF(F173="","",SUBSTITUTE(SUBSTITUTE(SUBSTITUTE(SUBSTITUTE(F173,"&lt;li&gt;",CHAR(10)),"&lt;/li&gt;",""),"&lt;br&gt;",CHAR(10)),"&lt;strong&gt;",""))</f>
        <v/>
      </c>
      <c r="H173" s="9" cm="1" t="str">
        <f t="array" ref="H173">IF(G173="","",SUBSTITUTE(SUBSTITUTE(SUBSTITUTE(SUBSTITUTE(SUBSTITUTE(G173,"&lt;p&gt;",""),"&lt;/p&gt;",""),"&lt;ul&gt;",""),"&lt;/ul&gt;",""),"&lt;/strong&gt;",""))</f>
        <v/>
      </c>
      <c r="I173" s="9" cm="1" t="str">
        <f t="array" ref="I173">IF(C173="","",IF(OR(H173="",H173=0,H173=FALSE),"-",H173))</f>
        <v/>
      </c>
      <c r="J173">
</c>
      <c r="K173">
</c>
      <c r="L173" s="4" cm="1" t="str">
        <f t="array" ref="L173">IF(C173="","",IF(K173="Mort / Plus rien à faire","KO","OK"))</f>
        <v/>
      </c>
      <c r="M173" s="14">
</c>
      <c r="N173" s="10" cm="1" t="str">
        <f t="array" ref="N173">IF(OR(C173="",M173="",M173=0),"",M173)</f>
        <v/>
      </c>
      <c r="O173" s="14">
</c>
      <c r="P173" s="10" cm="1" t="str">
        <f t="array" ref="P173">IF(C173="","",IF(OR(O173="",O173=0),"-",O173))</f>
        <v/>
      </c>
      <c r="Q173" s="15">
</c>
      <c r="R173" s="4" cm="1" t="str">
        <f t="array" ref="R173">IF(C173="","",ROUND(Q173/1000000,3)&amp;" M€")</f>
        <v/>
      </c>
      <c r="S173" s="16">
</c>
      <c r="T173" s="4" cm="1" t="str">
        <f t="array" ref="T173">IF(C173="","",SUBSTITUTE(S173,"","")&amp;"%")</f>
        <v/>
      </c>
      <c r="U173" s="4" cm="1" t="str">
        <f t="array" ref="U173">IF(($N173="")*($P173=""),"",IF(($N173&lt;&gt;"")*($N173&gt;TODAY()-9)*($N173&lt;TODAY()+1)*($P173&lt;&gt;"")*($P173&gt;=TODAY())*($P173&lt;=TODAY()+13),"Semaine passée &amp; à venir",IF(($N173&lt;&gt;"")*($N173&gt;TODAY()-9)*($N173&lt;TODAY()+1),"Semaine passée",IF(($P173&lt;&gt;"")*($P173&gt;=TODAY())*($P173&lt;=TODAY()+13),"À venir","Autre"))))</f>
        <v/>
      </c>
      <c r="V173" cm="1" t="n">
        <f t="array" ref="V173">IF(C173&lt;&gt;"",1,0)</f>
        <v>0</v>
      </c>
    </row>
    <row r="174" ht="78.75" customHeight="1">
      <c r="A174">
</c>
      <c r="B174">
</c>
      <c r="C174" s="13">
</c>
      <c r="D174" s="13">
</c>
      <c r="E174">
</c>
      <c r="F174">
</c>
      <c r="G174" s="9" cm="1" t="str">
        <f t="array" ref="G174">IF(F174="","",SUBSTITUTE(SUBSTITUTE(SUBSTITUTE(SUBSTITUTE(F174,"&lt;li&gt;",CHAR(10)),"&lt;/li&gt;",""),"&lt;br&gt;",CHAR(10)),"&lt;strong&gt;",""))</f>
        <v/>
      </c>
      <c r="H174" s="9" cm="1" t="str">
        <f t="array" ref="H174">IF(G174="","",SUBSTITUTE(SUBSTITUTE(SUBSTITUTE(SUBSTITUTE(SUBSTITUTE(G174,"&lt;p&gt;",""),"&lt;/p&gt;",""),"&lt;ul&gt;",""),"&lt;/ul&gt;",""),"&lt;/strong&gt;",""))</f>
        <v/>
      </c>
      <c r="I174" s="9" cm="1" t="str">
        <f t="array" ref="I174">IF(C174="","",IF(OR(H174="",H174=0,H174=FALSE),"-",H174))</f>
        <v/>
      </c>
      <c r="J174">
</c>
      <c r="K174">
</c>
      <c r="L174" s="4" cm="1" t="str">
        <f t="array" ref="L174">IF(C174="","",IF(K174="Mort / Plus rien à faire","KO","OK"))</f>
        <v/>
      </c>
      <c r="M174" s="14">
</c>
      <c r="N174" s="10" cm="1" t="str">
        <f t="array" ref="N174">IF(OR(C174="",M174="",M174=0),"",M174)</f>
        <v/>
      </c>
      <c r="O174" s="14">
</c>
      <c r="P174" s="10" cm="1" t="str">
        <f t="array" ref="P174">IF(C174="","",IF(OR(O174="",O174=0),"-",O174))</f>
        <v/>
      </c>
      <c r="Q174" s="15">
</c>
      <c r="R174" s="4" cm="1" t="str">
        <f t="array" ref="R174">IF(C174="","",ROUND(Q174/1000000,3)&amp;" M€")</f>
        <v/>
      </c>
      <c r="S174" s="16">
</c>
      <c r="T174" s="4" cm="1" t="str">
        <f t="array" ref="T174">IF(C174="","",SUBSTITUTE(S174,"","")&amp;"%")</f>
        <v/>
      </c>
      <c r="U174" s="4" cm="1" t="str">
        <f t="array" ref="U174">IF(($N174="")*($P174=""),"",IF(($N174&lt;&gt;"")*($N174&gt;TODAY()-9)*($N174&lt;TODAY()+1)*($P174&lt;&gt;"")*($P174&gt;=TODAY())*($P174&lt;=TODAY()+13),"Semaine passée &amp; à venir",IF(($N174&lt;&gt;"")*($N174&gt;TODAY()-9)*($N174&lt;TODAY()+1),"Semaine passée",IF(($P174&lt;&gt;"")*($P174&gt;=TODAY())*($P174&lt;=TODAY()+13),"À venir","Autre"))))</f>
        <v/>
      </c>
      <c r="V174" cm="1" t="n">
        <f t="array" ref="V174">IF(C174&lt;&gt;"",1,0)</f>
        <v>0</v>
      </c>
    </row>
    <row r="175" ht="78.75" customHeight="1">
      <c r="A175">
</c>
      <c r="B175">
</c>
      <c r="C175" s="13">
</c>
      <c r="D175" s="13">
</c>
      <c r="E175">
</c>
      <c r="F175">
</c>
      <c r="G175" s="9" cm="1" t="str">
        <f t="array" ref="G175">IF(F175="","",SUBSTITUTE(SUBSTITUTE(SUBSTITUTE(SUBSTITUTE(F175,"&lt;li&gt;",CHAR(10)),"&lt;/li&gt;",""),"&lt;br&gt;",CHAR(10)),"&lt;strong&gt;",""))</f>
        <v/>
      </c>
      <c r="H175" s="9" cm="1" t="str">
        <f t="array" ref="H175">IF(G175="","",SUBSTITUTE(SUBSTITUTE(SUBSTITUTE(SUBSTITUTE(SUBSTITUTE(G175,"&lt;p&gt;",""),"&lt;/p&gt;",""),"&lt;ul&gt;",""),"&lt;/ul&gt;",""),"&lt;/strong&gt;",""))</f>
        <v/>
      </c>
      <c r="I175" s="9" cm="1" t="str">
        <f t="array" ref="I175">IF(C175="","",IF(OR(H175="",H175=0,H175=FALSE),"-",H175))</f>
        <v/>
      </c>
      <c r="J175">
</c>
      <c r="K175">
</c>
      <c r="L175" s="4" cm="1" t="str">
        <f t="array" ref="L175">IF(C175="","",IF(K175="Mort / Plus rien à faire","KO","OK"))</f>
        <v/>
      </c>
      <c r="M175" s="14">
</c>
      <c r="N175" s="10" cm="1" t="str">
        <f t="array" ref="N175">IF(OR(C175="",M175="",M175=0),"",M175)</f>
        <v/>
      </c>
      <c r="O175" s="14">
</c>
      <c r="P175" s="10" cm="1" t="str">
        <f t="array" ref="P175">IF(C175="","",IF(OR(O175="",O175=0),"-",O175))</f>
        <v/>
      </c>
      <c r="Q175" s="15">
</c>
      <c r="R175" s="4" cm="1" t="str">
        <f t="array" ref="R175">IF(C175="","",ROUND(Q175/1000000,3)&amp;" M€")</f>
        <v/>
      </c>
      <c r="S175" s="16">
</c>
      <c r="T175" s="4" cm="1" t="str">
        <f t="array" ref="T175">IF(C175="","",SUBSTITUTE(S175,"","")&amp;"%")</f>
        <v/>
      </c>
      <c r="U175" s="4" cm="1" t="str">
        <f t="array" ref="U175">IF(($N175="")*($P175=""),"",IF(($N175&lt;&gt;"")*($N175&gt;TODAY()-9)*($N175&lt;TODAY()+1)*($P175&lt;&gt;"")*($P175&gt;=TODAY())*($P175&lt;=TODAY()+13),"Semaine passée &amp; à venir",IF(($N175&lt;&gt;"")*($N175&gt;TODAY()-9)*($N175&lt;TODAY()+1),"Semaine passée",IF(($P175&lt;&gt;"")*($P175&gt;=TODAY())*($P175&lt;=TODAY()+13),"À venir","Autre"))))</f>
        <v/>
      </c>
      <c r="V175" cm="1" t="n">
        <f t="array" ref="V175">IF(C175&lt;&gt;"",1,0)</f>
        <v>0</v>
      </c>
    </row>
    <row r="176" ht="78.75" customHeight="1">
      <c r="A176">
</c>
      <c r="B176">
</c>
      <c r="C176" s="13">
</c>
      <c r="D176" s="13">
</c>
      <c r="E176">
</c>
      <c r="F176">
</c>
      <c r="G176" s="9" cm="1" t="str">
        <f t="array" ref="G176">IF(F176="","",SUBSTITUTE(SUBSTITUTE(SUBSTITUTE(SUBSTITUTE(F176,"&lt;li&gt;",CHAR(10)),"&lt;/li&gt;",""),"&lt;br&gt;",CHAR(10)),"&lt;strong&gt;",""))</f>
        <v/>
      </c>
      <c r="H176" s="9" cm="1" t="str">
        <f t="array" ref="H176">IF(G176="","",SUBSTITUTE(SUBSTITUTE(SUBSTITUTE(SUBSTITUTE(SUBSTITUTE(G176,"&lt;p&gt;",""),"&lt;/p&gt;",""),"&lt;ul&gt;",""),"&lt;/ul&gt;",""),"&lt;/strong&gt;",""))</f>
        <v/>
      </c>
      <c r="I176" s="9" cm="1" t="str">
        <f t="array" ref="I176">IF(C176="","",IF(OR(H176="",H176=0,H176=FALSE),"-",H176))</f>
        <v/>
      </c>
      <c r="J176">
</c>
      <c r="K176">
</c>
      <c r="L176" s="4" cm="1" t="str">
        <f t="array" ref="L176">IF(C176="","",IF(K176="Mort / Plus rien à faire","KO","OK"))</f>
        <v/>
      </c>
      <c r="M176" s="14">
</c>
      <c r="N176" s="10" cm="1" t="str">
        <f t="array" ref="N176">IF(OR(C176="",M176="",M176=0),"",M176)</f>
        <v/>
      </c>
      <c r="O176" s="14">
</c>
      <c r="P176" s="10" cm="1" t="str">
        <f t="array" ref="P176">IF(C176="","",IF(OR(O176="",O176=0),"-",O176))</f>
        <v/>
      </c>
      <c r="Q176" s="15">
</c>
      <c r="R176" s="4" cm="1" t="str">
        <f t="array" ref="R176">IF(C176="","",ROUND(Q176/1000000,3)&amp;" M€")</f>
        <v/>
      </c>
      <c r="S176" s="16">
</c>
      <c r="T176" s="4" cm="1" t="str">
        <f t="array" ref="T176">IF(C176="","",SUBSTITUTE(S176,"","")&amp;"%")</f>
        <v/>
      </c>
      <c r="U176" s="4" cm="1" t="str">
        <f t="array" ref="U176">IF(($N176="")*($P176=""),"",IF(($N176&lt;&gt;"")*($N176&gt;TODAY()-9)*($N176&lt;TODAY()+1)*($P176&lt;&gt;"")*($P176&gt;=TODAY())*($P176&lt;=TODAY()+13),"Semaine passée &amp; à venir",IF(($N176&lt;&gt;"")*($N176&gt;TODAY()-9)*($N176&lt;TODAY()+1),"Semaine passée",IF(($P176&lt;&gt;"")*($P176&gt;=TODAY())*($P176&lt;=TODAY()+13),"À venir","Autre"))))</f>
        <v/>
      </c>
      <c r="V176" cm="1" t="n">
        <f t="array" ref="V176">IF(C176&lt;&gt;"",1,0)</f>
        <v>0</v>
      </c>
    </row>
    <row r="177" ht="78.75" customHeight="1">
      <c r="A177">
</c>
      <c r="B177">
</c>
      <c r="C177" s="13">
</c>
      <c r="D177" s="13">
</c>
      <c r="E177">
</c>
      <c r="F177">
</c>
      <c r="G177" s="9" cm="1" t="str">
        <f t="array" ref="G177">IF(F177="","",SUBSTITUTE(SUBSTITUTE(SUBSTITUTE(SUBSTITUTE(F177,"&lt;li&gt;",CHAR(10)),"&lt;/li&gt;",""),"&lt;br&gt;",CHAR(10)),"&lt;strong&gt;",""))</f>
        <v/>
      </c>
      <c r="H177" s="9" cm="1" t="str">
        <f t="array" ref="H177">IF(G177="","",SUBSTITUTE(SUBSTITUTE(SUBSTITUTE(SUBSTITUTE(SUBSTITUTE(G177,"&lt;p&gt;",""),"&lt;/p&gt;",""),"&lt;ul&gt;",""),"&lt;/ul&gt;",""),"&lt;/strong&gt;",""))</f>
        <v/>
      </c>
      <c r="I177" s="9" cm="1" t="str">
        <f t="array" ref="I177">IF(C177="","",IF(OR(H177="",H177=0,H177=FALSE),"-",H177))</f>
        <v/>
      </c>
      <c r="J177">
</c>
      <c r="K177">
</c>
      <c r="L177" s="4" cm="1" t="str">
        <f t="array" ref="L177">IF(C177="","",IF(K177="Mort / Plus rien à faire","KO","OK"))</f>
        <v/>
      </c>
      <c r="M177" s="14">
</c>
      <c r="N177" s="10" cm="1" t="str">
        <f t="array" ref="N177">IF(OR(C177="",M177="",M177=0),"",M177)</f>
        <v/>
      </c>
      <c r="O177" s="14">
</c>
      <c r="P177" s="10" cm="1" t="str">
        <f t="array" ref="P177">IF(C177="","",IF(OR(O177="",O177=0),"-",O177))</f>
        <v/>
      </c>
      <c r="Q177" s="15">
</c>
      <c r="R177" s="4" cm="1" t="str">
        <f t="array" ref="R177">IF(C177="","",ROUND(Q177/1000000,3)&amp;" M€")</f>
        <v/>
      </c>
      <c r="S177" s="16">
</c>
      <c r="T177" s="4" cm="1" t="str">
        <f t="array" ref="T177">IF(C177="","",SUBSTITUTE(S177,"","")&amp;"%")</f>
        <v/>
      </c>
      <c r="U177" s="4" cm="1" t="str">
        <f t="array" ref="U177">IF(($N177="")*($P177=""),"",IF(($N177&lt;&gt;"")*($N177&gt;TODAY()-9)*($N177&lt;TODAY()+1)*($P177&lt;&gt;"")*($P177&gt;=TODAY())*($P177&lt;=TODAY()+13),"Semaine passée &amp; à venir",IF(($N177&lt;&gt;"")*($N177&gt;TODAY()-9)*($N177&lt;TODAY()+1),"Semaine passée",IF(($P177&lt;&gt;"")*($P177&gt;=TODAY())*($P177&lt;=TODAY()+13),"À venir","Autre"))))</f>
        <v/>
      </c>
      <c r="V177" cm="1" t="n">
        <f t="array" ref="V177">IF(C177&lt;&gt;"",1,0)</f>
        <v>0</v>
      </c>
    </row>
    <row r="178" ht="78.75" customHeight="1">
      <c r="A178">
</c>
      <c r="B178">
</c>
      <c r="C178" s="13">
</c>
      <c r="D178" s="13">
</c>
      <c r="E178">
</c>
      <c r="F178">
</c>
      <c r="G178" s="9" cm="1" t="str">
        <f t="array" ref="G178">IF(F178="","",SUBSTITUTE(SUBSTITUTE(SUBSTITUTE(SUBSTITUTE(F178,"&lt;li&gt;",CHAR(10)),"&lt;/li&gt;",""),"&lt;br&gt;",CHAR(10)),"&lt;strong&gt;",""))</f>
        <v/>
      </c>
      <c r="H178" s="9" cm="1" t="str">
        <f t="array" ref="H178">IF(G178="","",SUBSTITUTE(SUBSTITUTE(SUBSTITUTE(SUBSTITUTE(SUBSTITUTE(G178,"&lt;p&gt;",""),"&lt;/p&gt;",""),"&lt;ul&gt;",""),"&lt;/ul&gt;",""),"&lt;/strong&gt;",""))</f>
        <v/>
      </c>
      <c r="I178" s="9" cm="1" t="str">
        <f t="array" ref="I178">IF(C178="","",IF(OR(H178="",H178=0,H178=FALSE),"-",H178))</f>
        <v/>
      </c>
      <c r="J178">
</c>
      <c r="K178">
</c>
      <c r="L178" s="4" cm="1" t="str">
        <f t="array" ref="L178">IF(C178="","",IF(K178="Mort / Plus rien à faire","KO","OK"))</f>
        <v/>
      </c>
      <c r="M178" s="14">
</c>
      <c r="N178" s="10" cm="1" t="str">
        <f t="array" ref="N178">IF(OR(C178="",M178="",M178=0),"",M178)</f>
        <v/>
      </c>
      <c r="O178" s="14">
</c>
      <c r="P178" s="10" cm="1" t="str">
        <f t="array" ref="P178">IF(C178="","",IF(OR(O178="",O178=0),"-",O178))</f>
        <v/>
      </c>
      <c r="Q178" s="15">
</c>
      <c r="R178" s="4" cm="1" t="str">
        <f t="array" ref="R178">IF(C178="","",ROUND(Q178/1000000,3)&amp;" M€")</f>
        <v/>
      </c>
      <c r="S178" s="16">
</c>
      <c r="T178" s="4" cm="1" t="str">
        <f t="array" ref="T178">IF(C178="","",SUBSTITUTE(S178,"","")&amp;"%")</f>
        <v/>
      </c>
      <c r="U178" s="4" cm="1" t="str">
        <f t="array" ref="U178">IF(($N178="")*($P178=""),"",IF(($N178&lt;&gt;"")*($N178&gt;TODAY()-9)*($N178&lt;TODAY()+1)*($P178&lt;&gt;"")*($P178&gt;=TODAY())*($P178&lt;=TODAY()+13),"Semaine passée &amp; à venir",IF(($N178&lt;&gt;"")*($N178&gt;TODAY()-9)*($N178&lt;TODAY()+1),"Semaine passée",IF(($P178&lt;&gt;"")*($P178&gt;=TODAY())*($P178&lt;=TODAY()+13),"À venir","Autre"))))</f>
        <v/>
      </c>
      <c r="V178" cm="1" t="n">
        <f t="array" ref="V178">IF(C178&lt;&gt;"",1,0)</f>
        <v>0</v>
      </c>
    </row>
    <row r="179" ht="78.75" customHeight="1">
      <c r="A179">
</c>
      <c r="B179">
</c>
      <c r="C179" s="13">
</c>
      <c r="D179" s="13">
</c>
      <c r="E179">
</c>
      <c r="F179">
</c>
      <c r="G179" s="9" cm="1" t="str">
        <f t="array" ref="G179">IF(F179="","",SUBSTITUTE(SUBSTITUTE(SUBSTITUTE(SUBSTITUTE(F179,"&lt;li&gt;",CHAR(10)),"&lt;/li&gt;",""),"&lt;br&gt;",CHAR(10)),"&lt;strong&gt;",""))</f>
        <v/>
      </c>
      <c r="H179" s="9" cm="1" t="str">
        <f t="array" ref="H179">IF(G179="","",SUBSTITUTE(SUBSTITUTE(SUBSTITUTE(SUBSTITUTE(SUBSTITUTE(G179,"&lt;p&gt;",""),"&lt;/p&gt;",""),"&lt;ul&gt;",""),"&lt;/ul&gt;",""),"&lt;/strong&gt;",""))</f>
        <v/>
      </c>
      <c r="I179" s="9" cm="1" t="str">
        <f t="array" ref="I179">IF(C179="","",IF(OR(H179="",H179=0,H179=FALSE),"-",H179))</f>
        <v/>
      </c>
      <c r="J179">
</c>
      <c r="K179">
</c>
      <c r="L179" s="4" cm="1" t="str">
        <f t="array" ref="L179">IF(C179="","",IF(K179="Mort / Plus rien à faire","KO","OK"))</f>
        <v/>
      </c>
      <c r="M179" s="14">
</c>
      <c r="N179" s="10" cm="1" t="str">
        <f t="array" ref="N179">IF(OR(C179="",M179="",M179=0),"",M179)</f>
        <v/>
      </c>
      <c r="O179" s="14">
</c>
      <c r="P179" s="10" cm="1" t="str">
        <f t="array" ref="P179">IF(C179="","",IF(OR(O179="",O179=0),"-",O179))</f>
        <v/>
      </c>
      <c r="Q179" s="15">
</c>
      <c r="R179" s="4" cm="1" t="str">
        <f t="array" ref="R179">IF(C179="","",ROUND(Q179/1000000,3)&amp;" M€")</f>
        <v/>
      </c>
      <c r="S179" s="16">
</c>
      <c r="T179" s="4" cm="1" t="str">
        <f t="array" ref="T179">IF(C179="","",SUBSTITUTE(S179,"","")&amp;"%")</f>
        <v/>
      </c>
      <c r="U179" s="4" cm="1" t="str">
        <f t="array" ref="U179">IF(($N179="")*($P179=""),"",IF(($N179&lt;&gt;"")*($N179&gt;TODAY()-9)*($N179&lt;TODAY()+1)*($P179&lt;&gt;"")*($P179&gt;=TODAY())*($P179&lt;=TODAY()+13),"Semaine passée &amp; à venir",IF(($N179&lt;&gt;"")*($N179&gt;TODAY()-9)*($N179&lt;TODAY()+1),"Semaine passée",IF(($P179&lt;&gt;"")*($P179&gt;=TODAY())*($P179&lt;=TODAY()+13),"À venir","Autre"))))</f>
        <v/>
      </c>
      <c r="V179" cm="1" t="n">
        <f t="array" ref="V179">IF(C179&lt;&gt;"",1,0)</f>
        <v>0</v>
      </c>
    </row>
    <row r="180" ht="78.75" customHeight="1">
      <c r="A180">
</c>
      <c r="B180">
</c>
      <c r="C180" s="13">
</c>
      <c r="D180" s="13">
</c>
      <c r="E180">
</c>
      <c r="F180">
</c>
      <c r="G180" s="9" cm="1" t="str">
        <f t="array" ref="G180">IF(F180="","",SUBSTITUTE(SUBSTITUTE(SUBSTITUTE(SUBSTITUTE(F180,"&lt;li&gt;",CHAR(10)),"&lt;/li&gt;",""),"&lt;br&gt;",CHAR(10)),"&lt;strong&gt;",""))</f>
        <v/>
      </c>
      <c r="H180" s="9" cm="1" t="str">
        <f t="array" ref="H180">IF(G180="","",SUBSTITUTE(SUBSTITUTE(SUBSTITUTE(SUBSTITUTE(SUBSTITUTE(G180,"&lt;p&gt;",""),"&lt;/p&gt;",""),"&lt;ul&gt;",""),"&lt;/ul&gt;",""),"&lt;/strong&gt;",""))</f>
        <v/>
      </c>
      <c r="I180" s="9" cm="1" t="str">
        <f t="array" ref="I180">IF(C180="","",IF(OR(H180="",H180=0,H180=FALSE),"-",H180))</f>
        <v/>
      </c>
      <c r="J180">
</c>
      <c r="K180">
</c>
      <c r="L180" s="4" cm="1" t="str">
        <f t="array" ref="L180">IF(C180="","",IF(K180="Mort / Plus rien à faire","KO","OK"))</f>
        <v/>
      </c>
      <c r="M180" s="14">
</c>
      <c r="N180" s="10" cm="1" t="str">
        <f t="array" ref="N180">IF(OR(C180="",M180="",M180=0),"",M180)</f>
        <v/>
      </c>
      <c r="O180" s="14">
</c>
      <c r="P180" s="10" cm="1" t="str">
        <f t="array" ref="P180">IF(C180="","",IF(OR(O180="",O180=0),"-",O180))</f>
        <v/>
      </c>
      <c r="Q180" s="15">
</c>
      <c r="R180" s="4" cm="1" t="str">
        <f t="array" ref="R180">IF(C180="","",ROUND(Q180/1000000,3)&amp;" M€")</f>
        <v/>
      </c>
      <c r="S180" s="16">
</c>
      <c r="T180" s="4" cm="1" t="str">
        <f t="array" ref="T180">IF(C180="","",SUBSTITUTE(S180,"","")&amp;"%")</f>
        <v/>
      </c>
      <c r="U180" s="4" cm="1" t="str">
        <f t="array" ref="U180">IF(($N180="")*($P180=""),"",IF(($N180&lt;&gt;"")*($N180&gt;TODAY()-9)*($N180&lt;TODAY()+1)*($P180&lt;&gt;"")*($P180&gt;=TODAY())*($P180&lt;=TODAY()+13),"Semaine passée &amp; à venir",IF(($N180&lt;&gt;"")*($N180&gt;TODAY()-9)*($N180&lt;TODAY()+1),"Semaine passée",IF(($P180&lt;&gt;"")*($P180&gt;=TODAY())*($P180&lt;=TODAY()+13),"À venir","Autre"))))</f>
        <v/>
      </c>
      <c r="V180" cm="1" t="n">
        <f t="array" ref="V180">IF(C180&lt;&gt;"",1,0)</f>
        <v>0</v>
      </c>
    </row>
    <row r="181" ht="78.75" customHeight="1">
      <c r="A181">
</c>
      <c r="B181">
</c>
      <c r="C181" s="13">
</c>
      <c r="D181" s="13">
</c>
      <c r="E181">
</c>
      <c r="F181">
</c>
      <c r="G181" s="9" cm="1" t="str">
        <f t="array" ref="G181">IF(F181="","",SUBSTITUTE(SUBSTITUTE(SUBSTITUTE(SUBSTITUTE(F181,"&lt;li&gt;",CHAR(10)),"&lt;/li&gt;",""),"&lt;br&gt;",CHAR(10)),"&lt;strong&gt;",""))</f>
        <v/>
      </c>
      <c r="H181" s="9" cm="1" t="str">
        <f t="array" ref="H181">IF(G181="","",SUBSTITUTE(SUBSTITUTE(SUBSTITUTE(SUBSTITUTE(SUBSTITUTE(G181,"&lt;p&gt;",""),"&lt;/p&gt;",""),"&lt;ul&gt;",""),"&lt;/ul&gt;",""),"&lt;/strong&gt;",""))</f>
        <v/>
      </c>
      <c r="I181" s="9" cm="1" t="str">
        <f t="array" ref="I181">IF(C181="","",IF(OR(H181="",H181=0,H181=FALSE),"-",H181))</f>
        <v/>
      </c>
      <c r="J181">
</c>
      <c r="K181">
</c>
      <c r="L181" s="4" cm="1" t="str">
        <f t="array" ref="L181">IF(C181="","",IF(K181="Mort / Plus rien à faire","KO","OK"))</f>
        <v/>
      </c>
      <c r="M181" s="14">
</c>
      <c r="N181" s="10" cm="1" t="str">
        <f t="array" ref="N181">IF(OR(C181="",M181="",M181=0),"",M181)</f>
        <v/>
      </c>
      <c r="O181" s="14">
</c>
      <c r="P181" s="10" cm="1" t="str">
        <f t="array" ref="P181">IF(C181="","",IF(OR(O181="",O181=0),"-",O181))</f>
        <v/>
      </c>
      <c r="Q181" s="15">
</c>
      <c r="R181" s="4" cm="1" t="str">
        <f t="array" ref="R181">IF(C181="","",ROUND(Q181/1000000,3)&amp;" M€")</f>
        <v/>
      </c>
      <c r="S181" s="16">
</c>
      <c r="T181" s="4" cm="1" t="str">
        <f t="array" ref="T181">IF(C181="","",SUBSTITUTE(S181,"","")&amp;"%")</f>
        <v/>
      </c>
      <c r="U181" s="4" cm="1" t="str">
        <f t="array" ref="U181">IF(($N181="")*($P181=""),"",IF(($N181&lt;&gt;"")*($N181&gt;TODAY()-9)*($N181&lt;TODAY()+1)*($P181&lt;&gt;"")*($P181&gt;=TODAY())*($P181&lt;=TODAY()+13),"Semaine passée &amp; à venir",IF(($N181&lt;&gt;"")*($N181&gt;TODAY()-9)*($N181&lt;TODAY()+1),"Semaine passée",IF(($P181&lt;&gt;"")*($P181&gt;=TODAY())*($P181&lt;=TODAY()+13),"À venir","Autre"))))</f>
        <v/>
      </c>
      <c r="V181" cm="1" t="n">
        <f t="array" ref="V181">IF(C181&lt;&gt;"",1,0)</f>
        <v>0</v>
      </c>
    </row>
    <row r="182" ht="78.75" customHeight="1">
      <c r="A182">
</c>
      <c r="B182">
</c>
      <c r="C182" s="13">
</c>
      <c r="D182" s="13">
</c>
      <c r="E182">
</c>
      <c r="F182">
</c>
      <c r="G182" s="9" cm="1" t="str">
        <f t="array" ref="G182">IF(F182="","",SUBSTITUTE(SUBSTITUTE(SUBSTITUTE(SUBSTITUTE(F182,"&lt;li&gt;",CHAR(10)),"&lt;/li&gt;",""),"&lt;br&gt;",CHAR(10)),"&lt;strong&gt;",""))</f>
        <v/>
      </c>
      <c r="H182" s="9" cm="1" t="str">
        <f t="array" ref="H182">IF(G182="","",SUBSTITUTE(SUBSTITUTE(SUBSTITUTE(SUBSTITUTE(SUBSTITUTE(G182,"&lt;p&gt;",""),"&lt;/p&gt;",""),"&lt;ul&gt;",""),"&lt;/ul&gt;",""),"&lt;/strong&gt;",""))</f>
        <v/>
      </c>
      <c r="I182" s="9" cm="1" t="str">
        <f t="array" ref="I182">IF(C182="","",IF(OR(H182="",H182=0,H182=FALSE),"-",H182))</f>
        <v/>
      </c>
      <c r="J182">
</c>
      <c r="K182">
</c>
      <c r="L182" s="4" cm="1" t="str">
        <f t="array" ref="L182">IF(C182="","",IF(K182="Mort / Plus rien à faire","KO","OK"))</f>
        <v/>
      </c>
      <c r="M182" s="14">
</c>
      <c r="N182" s="10" cm="1" t="str">
        <f t="array" ref="N182">IF(OR(C182="",M182="",M182=0),"",M182)</f>
        <v/>
      </c>
      <c r="O182" s="14">
</c>
      <c r="P182" s="10" cm="1" t="str">
        <f t="array" ref="P182">IF(C182="","",IF(OR(O182="",O182=0),"-",O182))</f>
        <v/>
      </c>
      <c r="Q182" s="15">
</c>
      <c r="R182" s="4" cm="1" t="str">
        <f t="array" ref="R182">IF(C182="","",ROUND(Q182/1000000,3)&amp;" M€")</f>
        <v/>
      </c>
      <c r="S182" s="16">
</c>
      <c r="T182" s="4" cm="1" t="str">
        <f t="array" ref="T182">IF(C182="","",SUBSTITUTE(S182,"","")&amp;"%")</f>
        <v/>
      </c>
      <c r="U182" s="4" cm="1" t="str">
        <f t="array" ref="U182">IF(($N182="")*($P182=""),"",IF(($N182&lt;&gt;"")*($N182&gt;TODAY()-9)*($N182&lt;TODAY()+1)*($P182&lt;&gt;"")*($P182&gt;=TODAY())*($P182&lt;=TODAY()+13),"Semaine passée &amp; à venir",IF(($N182&lt;&gt;"")*($N182&gt;TODAY()-9)*($N182&lt;TODAY()+1),"Semaine passée",IF(($P182&lt;&gt;"")*($P182&gt;=TODAY())*($P182&lt;=TODAY()+13),"À venir","Autre"))))</f>
        <v/>
      </c>
      <c r="V182" cm="1" t="n">
        <f t="array" ref="V182">IF(C182&lt;&gt;"",1,0)</f>
        <v>0</v>
      </c>
    </row>
    <row r="183" ht="78.75" customHeight="1">
      <c r="A183">
</c>
      <c r="B183">
</c>
      <c r="C183" s="13">
</c>
      <c r="D183" s="13">
</c>
      <c r="E183">
</c>
      <c r="F183">
</c>
      <c r="G183" s="9" cm="1" t="str">
        <f t="array" ref="G183">IF(F183="","",SUBSTITUTE(SUBSTITUTE(SUBSTITUTE(SUBSTITUTE(F183,"&lt;li&gt;",CHAR(10)),"&lt;/li&gt;",""),"&lt;br&gt;",CHAR(10)),"&lt;strong&gt;",""))</f>
        <v/>
      </c>
      <c r="H183" s="9" cm="1" t="str">
        <f t="array" ref="H183">IF(G183="","",SUBSTITUTE(SUBSTITUTE(SUBSTITUTE(SUBSTITUTE(SUBSTITUTE(G183,"&lt;p&gt;",""),"&lt;/p&gt;",""),"&lt;ul&gt;",""),"&lt;/ul&gt;",""),"&lt;/strong&gt;",""))</f>
        <v/>
      </c>
      <c r="I183" s="9" cm="1" t="str">
        <f t="array" ref="I183">IF(C183="","",IF(OR(H183="",H183=0,H183=FALSE),"-",H183))</f>
        <v/>
      </c>
      <c r="J183">
</c>
      <c r="K183">
</c>
      <c r="L183" s="4" cm="1" t="str">
        <f t="array" ref="L183">IF(C183="","",IF(K183="Mort / Plus rien à faire","KO","OK"))</f>
        <v/>
      </c>
      <c r="M183" s="14">
</c>
      <c r="N183" s="10" cm="1" t="str">
        <f t="array" ref="N183">IF(OR(C183="",M183="",M183=0),"",M183)</f>
        <v/>
      </c>
      <c r="O183" s="14">
</c>
      <c r="P183" s="10" cm="1" t="str">
        <f t="array" ref="P183">IF(C183="","",IF(OR(O183="",O183=0),"-",O183))</f>
        <v/>
      </c>
      <c r="Q183" s="15">
</c>
      <c r="R183" s="4" cm="1" t="str">
        <f t="array" ref="R183">IF(C183="","",ROUND(Q183/1000000,3)&amp;" M€")</f>
        <v/>
      </c>
      <c r="S183" s="16">
</c>
      <c r="T183" s="4" cm="1" t="str">
        <f t="array" ref="T183">IF(C183="","",SUBSTITUTE(S183,"","")&amp;"%")</f>
        <v/>
      </c>
      <c r="U183" s="4" cm="1" t="str">
        <f t="array" ref="U183">IF(($N183="")*($P183=""),"",IF(($N183&lt;&gt;"")*($N183&gt;TODAY()-9)*($N183&lt;TODAY()+1)*($P183&lt;&gt;"")*($P183&gt;=TODAY())*($P183&lt;=TODAY()+13),"Semaine passée &amp; à venir",IF(($N183&lt;&gt;"")*($N183&gt;TODAY()-9)*($N183&lt;TODAY()+1),"Semaine passée",IF(($P183&lt;&gt;"")*($P183&gt;=TODAY())*($P183&lt;=TODAY()+13),"À venir","Autre"))))</f>
        <v/>
      </c>
      <c r="V183" cm="1" t="n">
        <f t="array" ref="V183">IF(C183&lt;&gt;"",1,0)</f>
        <v>0</v>
      </c>
    </row>
    <row r="184" ht="78.75" customHeight="1">
      <c r="A184">
</c>
      <c r="B184">
</c>
      <c r="C184" s="13">
</c>
      <c r="D184" s="13">
</c>
      <c r="E184">
</c>
      <c r="F184">
</c>
      <c r="G184" s="9" cm="1" t="str">
        <f t="array" ref="G184">IF(F184="","",SUBSTITUTE(SUBSTITUTE(SUBSTITUTE(SUBSTITUTE(F184,"&lt;li&gt;",CHAR(10)),"&lt;/li&gt;",""),"&lt;br&gt;",CHAR(10)),"&lt;strong&gt;",""))</f>
        <v/>
      </c>
      <c r="H184" s="9" cm="1" t="str">
        <f t="array" ref="H184">IF(G184="","",SUBSTITUTE(SUBSTITUTE(SUBSTITUTE(SUBSTITUTE(SUBSTITUTE(G184,"&lt;p&gt;",""),"&lt;/p&gt;",""),"&lt;ul&gt;",""),"&lt;/ul&gt;",""),"&lt;/strong&gt;",""))</f>
        <v/>
      </c>
      <c r="I184" s="9" cm="1" t="str">
        <f t="array" ref="I184">IF(C184="","",IF(OR(H184="",H184=0,H184=FALSE),"-",H184))</f>
        <v/>
      </c>
      <c r="J184">
</c>
      <c r="K184">
</c>
      <c r="L184" s="4" cm="1" t="str">
        <f t="array" ref="L184">IF(C184="","",IF(K184="Mort / Plus rien à faire","KO","OK"))</f>
        <v/>
      </c>
      <c r="M184" s="14">
</c>
      <c r="N184" s="10" cm="1" t="str">
        <f t="array" ref="N184">IF(OR(C184="",M184="",M184=0),"",M184)</f>
        <v/>
      </c>
      <c r="O184" s="14">
</c>
      <c r="P184" s="10" cm="1" t="str">
        <f t="array" ref="P184">IF(C184="","",IF(OR(O184="",O184=0),"-",O184))</f>
        <v/>
      </c>
      <c r="Q184" s="15">
</c>
      <c r="R184" s="4" cm="1" t="str">
        <f t="array" ref="R184">IF(C184="","",ROUND(Q184/1000000,3)&amp;" M€")</f>
        <v/>
      </c>
      <c r="S184" s="16">
</c>
      <c r="T184" s="4" cm="1" t="str">
        <f t="array" ref="T184">IF(C184="","",SUBSTITUTE(S184,"","")&amp;"%")</f>
        <v/>
      </c>
      <c r="U184" s="4" cm="1" t="str">
        <f t="array" ref="U184">IF(($N184="")*($P184=""),"",IF(($N184&lt;&gt;"")*($N184&gt;TODAY()-9)*($N184&lt;TODAY()+1)*($P184&lt;&gt;"")*($P184&gt;=TODAY())*($P184&lt;=TODAY()+13),"Semaine passée &amp; à venir",IF(($N184&lt;&gt;"")*($N184&gt;TODAY()-9)*($N184&lt;TODAY()+1),"Semaine passée",IF(($P184&lt;&gt;"")*($P184&gt;=TODAY())*($P184&lt;=TODAY()+13),"À venir","Autre"))))</f>
        <v/>
      </c>
      <c r="V184" cm="1" t="n">
        <f t="array" ref="V184">IF(C184&lt;&gt;"",1,0)</f>
        <v>0</v>
      </c>
    </row>
    <row r="185" ht="78.75" customHeight="1">
      <c r="A185">
</c>
      <c r="B185">
</c>
      <c r="C185" s="13">
</c>
      <c r="D185" s="13">
</c>
      <c r="E185">
</c>
      <c r="F185">
</c>
      <c r="G185" s="9" cm="1" t="str">
        <f t="array" ref="G185">IF(F185="","",SUBSTITUTE(SUBSTITUTE(SUBSTITUTE(SUBSTITUTE(F185,"&lt;li&gt;",CHAR(10)),"&lt;/li&gt;",""),"&lt;br&gt;",CHAR(10)),"&lt;strong&gt;",""))</f>
        <v/>
      </c>
      <c r="H185" s="9" cm="1" t="str">
        <f t="array" ref="H185">IF(G185="","",SUBSTITUTE(SUBSTITUTE(SUBSTITUTE(SUBSTITUTE(SUBSTITUTE(G185,"&lt;p&gt;",""),"&lt;/p&gt;",""),"&lt;ul&gt;",""),"&lt;/ul&gt;",""),"&lt;/strong&gt;",""))</f>
        <v/>
      </c>
      <c r="I185" s="9" cm="1" t="str">
        <f t="array" ref="I185">IF(C185="","",IF(OR(H185="",H185=0,H185=FALSE),"-",H185))</f>
        <v/>
      </c>
      <c r="J185">
</c>
      <c r="K185">
</c>
      <c r="L185" s="4" cm="1" t="str">
        <f t="array" ref="L185">IF(C185="","",IF(K185="Mort / Plus rien à faire","KO","OK"))</f>
        <v/>
      </c>
      <c r="M185" s="14">
</c>
      <c r="N185" s="10" cm="1" t="str">
        <f t="array" ref="N185">IF(OR(C185="",M185="",M185=0),"",M185)</f>
        <v/>
      </c>
      <c r="O185" s="14">
</c>
      <c r="P185" s="10" cm="1" t="str">
        <f t="array" ref="P185">IF(C185="","",IF(OR(O185="",O185=0),"-",O185))</f>
        <v/>
      </c>
      <c r="Q185" s="15">
</c>
      <c r="R185" s="4" cm="1" t="str">
        <f t="array" ref="R185">IF(C185="","",ROUND(Q185/1000000,3)&amp;" M€")</f>
        <v/>
      </c>
      <c r="S185" s="16">
</c>
      <c r="T185" s="4" cm="1" t="str">
        <f t="array" ref="T185">IF(C185="","",SUBSTITUTE(S185,"","")&amp;"%")</f>
        <v/>
      </c>
      <c r="U185" s="4" cm="1" t="str">
        <f t="array" ref="U185">IF(($N185="")*($P185=""),"",IF(($N185&lt;&gt;"")*($N185&gt;TODAY()-9)*($N185&lt;TODAY()+1)*($P185&lt;&gt;"")*($P185&gt;=TODAY())*($P185&lt;=TODAY()+13),"Semaine passée &amp; à venir",IF(($N185&lt;&gt;"")*($N185&gt;TODAY()-9)*($N185&lt;TODAY()+1),"Semaine passée",IF(($P185&lt;&gt;"")*($P185&gt;=TODAY())*($P185&lt;=TODAY()+13),"À venir","Autre"))))</f>
        <v/>
      </c>
      <c r="V185" cm="1" t="n">
        <f t="array" ref="V185">IF(C185&lt;&gt;"",1,0)</f>
        <v>0</v>
      </c>
    </row>
    <row r="186" ht="78.75" customHeight="1">
      <c r="A186">
</c>
      <c r="B186">
</c>
      <c r="C186" s="13">
</c>
      <c r="D186" s="13">
</c>
      <c r="E186">
</c>
      <c r="F186">
</c>
      <c r="G186" s="9" cm="1" t="str">
        <f t="array" ref="G186">IF(F186="","",SUBSTITUTE(SUBSTITUTE(SUBSTITUTE(SUBSTITUTE(F186,"&lt;li&gt;",CHAR(10)),"&lt;/li&gt;",""),"&lt;br&gt;",CHAR(10)),"&lt;strong&gt;",""))</f>
        <v/>
      </c>
      <c r="H186" s="9" cm="1" t="str">
        <f t="array" ref="H186">IF(G186="","",SUBSTITUTE(SUBSTITUTE(SUBSTITUTE(SUBSTITUTE(SUBSTITUTE(G186,"&lt;p&gt;",""),"&lt;/p&gt;",""),"&lt;ul&gt;",""),"&lt;/ul&gt;",""),"&lt;/strong&gt;",""))</f>
        <v/>
      </c>
      <c r="I186" s="9" cm="1" t="str">
        <f t="array" ref="I186">IF(C186="","",IF(OR(H186="",H186=0,H186=FALSE),"-",H186))</f>
        <v/>
      </c>
      <c r="J186">
</c>
      <c r="K186">
</c>
      <c r="L186" s="4" cm="1" t="str">
        <f t="array" ref="L186">IF(C186="","",IF(K186="Mort / Plus rien à faire","KO","OK"))</f>
        <v/>
      </c>
      <c r="M186" s="14">
</c>
      <c r="N186" s="10" cm="1" t="str">
        <f t="array" ref="N186">IF(OR(C186="",M186="",M186=0),"",M186)</f>
        <v/>
      </c>
      <c r="O186" s="14">
</c>
      <c r="P186" s="10" cm="1" t="str">
        <f t="array" ref="P186">IF(C186="","",IF(OR(O186="",O186=0),"-",O186))</f>
        <v/>
      </c>
      <c r="Q186" s="15">
</c>
      <c r="R186" s="4" cm="1" t="str">
        <f t="array" ref="R186">IF(C186="","",ROUND(Q186/1000000,3)&amp;" M€")</f>
        <v/>
      </c>
      <c r="S186" s="16">
</c>
      <c r="T186" s="4" cm="1" t="str">
        <f t="array" ref="T186">IF(C186="","",SUBSTITUTE(S186,"","")&amp;"%")</f>
        <v/>
      </c>
      <c r="U186" s="4" cm="1" t="str">
        <f t="array" ref="U186">IF(($N186="")*($P186=""),"",IF(($N186&lt;&gt;"")*($N186&gt;TODAY()-9)*($N186&lt;TODAY()+1)*($P186&lt;&gt;"")*($P186&gt;=TODAY())*($P186&lt;=TODAY()+13),"Semaine passée &amp; à venir",IF(($N186&lt;&gt;"")*($N186&gt;TODAY()-9)*($N186&lt;TODAY()+1),"Semaine passée",IF(($P186&lt;&gt;"")*($P186&gt;=TODAY())*($P186&lt;=TODAY()+13),"À venir","Autre"))))</f>
        <v/>
      </c>
      <c r="V186" cm="1" t="n">
        <f t="array" ref="V186">IF(C186&lt;&gt;"",1,0)</f>
        <v>0</v>
      </c>
    </row>
    <row r="187" ht="78.75" customHeight="1">
      <c r="A187">
</c>
      <c r="B187">
</c>
      <c r="C187" s="13">
</c>
      <c r="D187" s="13">
</c>
      <c r="E187">
</c>
      <c r="F187">
</c>
      <c r="G187" s="9" cm="1" t="str">
        <f t="array" ref="G187">IF(F187="","",SUBSTITUTE(SUBSTITUTE(SUBSTITUTE(SUBSTITUTE(F187,"&lt;li&gt;",CHAR(10)),"&lt;/li&gt;",""),"&lt;br&gt;",CHAR(10)),"&lt;strong&gt;",""))</f>
        <v/>
      </c>
      <c r="H187" s="9" cm="1" t="str">
        <f t="array" ref="H187">IF(G187="","",SUBSTITUTE(SUBSTITUTE(SUBSTITUTE(SUBSTITUTE(SUBSTITUTE(G187,"&lt;p&gt;",""),"&lt;/p&gt;",""),"&lt;ul&gt;",""),"&lt;/ul&gt;",""),"&lt;/strong&gt;",""))</f>
        <v/>
      </c>
      <c r="I187" s="9" cm="1" t="str">
        <f t="array" ref="I187">IF(C187="","",IF(OR(H187="",H187=0,H187=FALSE),"-",H187))</f>
        <v/>
      </c>
      <c r="J187">
</c>
      <c r="K187">
</c>
      <c r="L187" s="4" cm="1" t="str">
        <f t="array" ref="L187">IF(C187="","",IF(K187="Mort / Plus rien à faire","KO","OK"))</f>
        <v/>
      </c>
      <c r="M187" s="14">
</c>
      <c r="N187" s="10" cm="1" t="str">
        <f t="array" ref="N187">IF(OR(C187="",M187="",M187=0),"",M187)</f>
        <v/>
      </c>
      <c r="O187" s="14">
</c>
      <c r="P187" s="10" cm="1" t="str">
        <f t="array" ref="P187">IF(C187="","",IF(OR(O187="",O187=0),"-",O187))</f>
        <v/>
      </c>
      <c r="Q187" s="15">
</c>
      <c r="R187" s="4" cm="1" t="str">
        <f t="array" ref="R187">IF(C187="","",ROUND(Q187/1000000,3)&amp;" M€")</f>
        <v/>
      </c>
      <c r="S187" s="16">
</c>
      <c r="T187" s="4" cm="1" t="str">
        <f t="array" ref="T187">IF(C187="","",SUBSTITUTE(S187,"","")&amp;"%")</f>
        <v/>
      </c>
      <c r="U187" s="4" cm="1" t="str">
        <f t="array" ref="U187">IF(($N187="")*($P187=""),"",IF(($N187&lt;&gt;"")*($N187&gt;TODAY()-9)*($N187&lt;TODAY()+1)*($P187&lt;&gt;"")*($P187&gt;=TODAY())*($P187&lt;=TODAY()+13),"Semaine passée &amp; à venir",IF(($N187&lt;&gt;"")*($N187&gt;TODAY()-9)*($N187&lt;TODAY()+1),"Semaine passée",IF(($P187&lt;&gt;"")*($P187&gt;=TODAY())*($P187&lt;=TODAY()+13),"À venir","Autre"))))</f>
        <v/>
      </c>
      <c r="V187" cm="1" t="n">
        <f t="array" ref="V187">IF(C187&lt;&gt;"",1,0)</f>
        <v>0</v>
      </c>
    </row>
    <row r="188" ht="78.75" customHeight="1">
      <c r="A188">
</c>
      <c r="B188">
</c>
      <c r="C188" s="13">
</c>
      <c r="D188" s="13">
</c>
      <c r="E188">
</c>
      <c r="F188">
</c>
      <c r="G188" s="9" cm="1" t="str">
        <f t="array" ref="G188">IF(F188="","",SUBSTITUTE(SUBSTITUTE(SUBSTITUTE(SUBSTITUTE(F188,"&lt;li&gt;",CHAR(10)),"&lt;/li&gt;",""),"&lt;br&gt;",CHAR(10)),"&lt;strong&gt;",""))</f>
        <v/>
      </c>
      <c r="H188" s="9" cm="1" t="str">
        <f t="array" ref="H188">IF(G188="","",SUBSTITUTE(SUBSTITUTE(SUBSTITUTE(SUBSTITUTE(SUBSTITUTE(G188,"&lt;p&gt;",""),"&lt;/p&gt;",""),"&lt;ul&gt;",""),"&lt;/ul&gt;",""),"&lt;/strong&gt;",""))</f>
        <v/>
      </c>
      <c r="I188" s="9" cm="1" t="str">
        <f t="array" ref="I188">IF(C188="","",IF(OR(H188="",H188=0,H188=FALSE),"-",H188))</f>
        <v/>
      </c>
      <c r="J188">
</c>
      <c r="K188">
</c>
      <c r="L188" s="4" cm="1" t="str">
        <f t="array" ref="L188">IF(C188="","",IF(K188="Mort / Plus rien à faire","KO","OK"))</f>
        <v/>
      </c>
      <c r="M188" s="14">
</c>
      <c r="N188" s="10" cm="1" t="str">
        <f t="array" ref="N188">IF(OR(C188="",M188="",M188=0),"",M188)</f>
        <v/>
      </c>
      <c r="O188" s="14">
</c>
      <c r="P188" s="10" cm="1" t="str">
        <f t="array" ref="P188">IF(C188="","",IF(OR(O188="",O188=0),"-",O188))</f>
        <v/>
      </c>
      <c r="Q188" s="15">
</c>
      <c r="R188" s="4" cm="1" t="str">
        <f t="array" ref="R188">IF(C188="","",ROUND(Q188/1000000,3)&amp;" M€")</f>
        <v/>
      </c>
      <c r="S188" s="16">
</c>
      <c r="T188" s="4" cm="1" t="str">
        <f t="array" ref="T188">IF(C188="","",SUBSTITUTE(S188,"","")&amp;"%")</f>
        <v/>
      </c>
      <c r="U188" s="4" cm="1" t="str">
        <f t="array" ref="U188">IF(($N188="")*($P188=""),"",IF(($N188&lt;&gt;"")*($N188&gt;TODAY()-9)*($N188&lt;TODAY()+1)*($P188&lt;&gt;"")*($P188&gt;=TODAY())*($P188&lt;=TODAY()+13),"Semaine passée &amp; à venir",IF(($N188&lt;&gt;"")*($N188&gt;TODAY()-9)*($N188&lt;TODAY()+1),"Semaine passée",IF(($P188&lt;&gt;"")*($P188&gt;=TODAY())*($P188&lt;=TODAY()+13),"À venir","Autre"))))</f>
        <v/>
      </c>
      <c r="V188" cm="1" t="n">
        <f t="array" ref="V188">IF(C188&lt;&gt;"",1,0)</f>
        <v>0</v>
      </c>
    </row>
    <row r="189" ht="78.75" customHeight="1">
      <c r="A189">
</c>
      <c r="B189">
</c>
      <c r="C189" s="13">
</c>
      <c r="D189" s="13">
</c>
      <c r="E189">
</c>
      <c r="F189">
</c>
      <c r="G189" s="9" cm="1" t="str">
        <f t="array" ref="G189">IF(F189="","",SUBSTITUTE(SUBSTITUTE(SUBSTITUTE(SUBSTITUTE(F189,"&lt;li&gt;",CHAR(10)),"&lt;/li&gt;",""),"&lt;br&gt;",CHAR(10)),"&lt;strong&gt;",""))</f>
        <v/>
      </c>
      <c r="H189" s="9" cm="1" t="str">
        <f t="array" ref="H189">IF(G189="","",SUBSTITUTE(SUBSTITUTE(SUBSTITUTE(SUBSTITUTE(SUBSTITUTE(G189,"&lt;p&gt;",""),"&lt;/p&gt;",""),"&lt;ul&gt;",""),"&lt;/ul&gt;",""),"&lt;/strong&gt;",""))</f>
        <v/>
      </c>
      <c r="I189" s="9" cm="1" t="str">
        <f t="array" ref="I189">IF(C189="","",IF(OR(H189="",H189=0,H189=FALSE),"-",H189))</f>
        <v/>
      </c>
      <c r="J189">
</c>
      <c r="K189">
</c>
      <c r="L189" s="4" cm="1" t="str">
        <f t="array" ref="L189">IF(C189="","",IF(K189="Mort / Plus rien à faire","KO","OK"))</f>
        <v/>
      </c>
      <c r="M189" s="14">
</c>
      <c r="N189" s="10" cm="1" t="str">
        <f t="array" ref="N189">IF(OR(C189="",M189="",M189=0),"",M189)</f>
        <v/>
      </c>
      <c r="O189" s="14">
</c>
      <c r="P189" s="10" cm="1" t="str">
        <f t="array" ref="P189">IF(C189="","",IF(OR(O189="",O189=0),"-",O189))</f>
        <v/>
      </c>
      <c r="Q189" s="15">
</c>
      <c r="R189" s="4" cm="1" t="str">
        <f t="array" ref="R189">IF(C189="","",ROUND(Q189/1000000,3)&amp;" M€")</f>
        <v/>
      </c>
      <c r="S189" s="16">
</c>
      <c r="T189" s="4" cm="1" t="str">
        <f t="array" ref="T189">IF(C189="","",SUBSTITUTE(S189,"","")&amp;"%")</f>
        <v/>
      </c>
      <c r="U189" s="4" cm="1" t="str">
        <f t="array" ref="U189">IF(($N189="")*($P189=""),"",IF(($N189&lt;&gt;"")*($N189&gt;TODAY()-9)*($N189&lt;TODAY()+1)*($P189&lt;&gt;"")*($P189&gt;=TODAY())*($P189&lt;=TODAY()+13),"Semaine passée &amp; à venir",IF(($N189&lt;&gt;"")*($N189&gt;TODAY()-9)*($N189&lt;TODAY()+1),"Semaine passée",IF(($P189&lt;&gt;"")*($P189&gt;=TODAY())*($P189&lt;=TODAY()+13),"À venir","Autre"))))</f>
        <v/>
      </c>
      <c r="V189" cm="1" t="n">
        <f t="array" ref="V189">IF(C189&lt;&gt;"",1,0)</f>
        <v>0</v>
      </c>
    </row>
    <row r="190" ht="78.75" customHeight="1">
      <c r="A190">
</c>
      <c r="B190">
</c>
      <c r="C190" s="13">
</c>
      <c r="D190" s="13">
</c>
      <c r="E190">
</c>
      <c r="F190">
</c>
      <c r="G190" s="9" cm="1" t="str">
        <f t="array" ref="G190">IF(F190="","",SUBSTITUTE(SUBSTITUTE(SUBSTITUTE(SUBSTITUTE(F190,"&lt;li&gt;",CHAR(10)),"&lt;/li&gt;",""),"&lt;br&gt;",CHAR(10)),"&lt;strong&gt;",""))</f>
        <v/>
      </c>
      <c r="H190" s="9" cm="1" t="str">
        <f t="array" ref="H190">IF(G190="","",SUBSTITUTE(SUBSTITUTE(SUBSTITUTE(SUBSTITUTE(SUBSTITUTE(G190,"&lt;p&gt;",""),"&lt;/p&gt;",""),"&lt;ul&gt;",""),"&lt;/ul&gt;",""),"&lt;/strong&gt;",""))</f>
        <v/>
      </c>
      <c r="I190" s="9" cm="1" t="str">
        <f t="array" ref="I190">IF(C190="","",IF(OR(H190="",H190=0,H190=FALSE),"-",H190))</f>
        <v/>
      </c>
      <c r="J190">
</c>
      <c r="K190">
</c>
      <c r="L190" s="4" cm="1" t="str">
        <f t="array" ref="L190">IF(C190="","",IF(K190="Mort / Plus rien à faire","KO","OK"))</f>
        <v/>
      </c>
      <c r="M190" s="14">
</c>
      <c r="N190" s="10" cm="1" t="str">
        <f t="array" ref="N190">IF(OR(C190="",M190="",M190=0),"",M190)</f>
        <v/>
      </c>
      <c r="O190" s="14">
</c>
      <c r="P190" s="10" cm="1" t="str">
        <f t="array" ref="P190">IF(C190="","",IF(OR(O190="",O190=0),"-",O190))</f>
        <v/>
      </c>
      <c r="Q190" s="15">
</c>
      <c r="R190" s="4" cm="1" t="str">
        <f t="array" ref="R190">IF(C190="","",ROUND(Q190/1000000,3)&amp;" M€")</f>
        <v/>
      </c>
      <c r="S190" s="16">
</c>
      <c r="T190" s="4" cm="1" t="str">
        <f t="array" ref="T190">IF(C190="","",SUBSTITUTE(S190,"","")&amp;"%")</f>
        <v/>
      </c>
      <c r="U190" s="4" cm="1" t="str">
        <f t="array" ref="U190">IF(($N190="")*($P190=""),"",IF(($N190&lt;&gt;"")*($N190&gt;TODAY()-9)*($N190&lt;TODAY()+1)*($P190&lt;&gt;"")*($P190&gt;=TODAY())*($P190&lt;=TODAY()+13),"Semaine passée &amp; à venir",IF(($N190&lt;&gt;"")*($N190&gt;TODAY()-9)*($N190&lt;TODAY()+1),"Semaine passée",IF(($P190&lt;&gt;"")*($P190&gt;=TODAY())*($P190&lt;=TODAY()+13),"À venir","Autre"))))</f>
        <v/>
      </c>
      <c r="V190" cm="1" t="n">
        <f t="array" ref="V190">IF(C190&lt;&gt;"",1,0)</f>
        <v>0</v>
      </c>
    </row>
    <row r="191" ht="78.75" customHeight="1">
      <c r="A191">
</c>
      <c r="B191">
</c>
      <c r="C191" s="13">
</c>
      <c r="D191" s="13">
</c>
      <c r="E191">
</c>
      <c r="F191">
</c>
      <c r="G191" s="9" cm="1" t="str">
        <f t="array" ref="G191">IF(F191="","",SUBSTITUTE(SUBSTITUTE(SUBSTITUTE(SUBSTITUTE(F191,"&lt;li&gt;",CHAR(10)),"&lt;/li&gt;",""),"&lt;br&gt;",CHAR(10)),"&lt;strong&gt;",""))</f>
        <v/>
      </c>
      <c r="H191" s="9" cm="1" t="str">
        <f t="array" ref="H191">IF(G191="","",SUBSTITUTE(SUBSTITUTE(SUBSTITUTE(SUBSTITUTE(SUBSTITUTE(G191,"&lt;p&gt;",""),"&lt;/p&gt;",""),"&lt;ul&gt;",""),"&lt;/ul&gt;",""),"&lt;/strong&gt;",""))</f>
        <v/>
      </c>
      <c r="I191" s="9" cm="1" t="str">
        <f t="array" ref="I191">IF(C191="","",IF(OR(H191="",H191=0,H191=FALSE),"-",H191))</f>
        <v/>
      </c>
      <c r="J191">
</c>
      <c r="K191">
</c>
      <c r="L191" s="4" cm="1" t="str">
        <f t="array" ref="L191">IF(C191="","",IF(K191="Mort / Plus rien à faire","KO","OK"))</f>
        <v/>
      </c>
      <c r="M191" s="14">
</c>
      <c r="N191" s="10" cm="1" t="str">
        <f t="array" ref="N191">IF(OR(C191="",M191="",M191=0),"",M191)</f>
        <v/>
      </c>
      <c r="O191" s="14">
</c>
      <c r="P191" s="10" cm="1" t="str">
        <f t="array" ref="P191">IF(C191="","",IF(OR(O191="",O191=0),"-",O191))</f>
        <v/>
      </c>
      <c r="Q191" s="15">
</c>
      <c r="R191" s="4" cm="1" t="str">
        <f t="array" ref="R191">IF(C191="","",ROUND(Q191/1000000,3)&amp;" M€")</f>
        <v/>
      </c>
      <c r="S191" s="16">
</c>
      <c r="T191" s="4" cm="1" t="str">
        <f t="array" ref="T191">IF(C191="","",SUBSTITUTE(S191,"","")&amp;"%")</f>
        <v/>
      </c>
      <c r="U191" s="4" cm="1" t="str">
        <f t="array" ref="U191">IF(($N191="")*($P191=""),"",IF(($N191&lt;&gt;"")*($N191&gt;TODAY()-9)*($N191&lt;TODAY()+1)*($P191&lt;&gt;"")*($P191&gt;=TODAY())*($P191&lt;=TODAY()+13),"Semaine passée &amp; à venir",IF(($N191&lt;&gt;"")*($N191&gt;TODAY()-9)*($N191&lt;TODAY()+1),"Semaine passée",IF(($P191&lt;&gt;"")*($P191&gt;=TODAY())*($P191&lt;=TODAY()+13),"À venir","Autre"))))</f>
        <v/>
      </c>
      <c r="V191" cm="1" t="n">
        <f t="array" ref="V191">IF(C191&lt;&gt;"",1,0)</f>
        <v>0</v>
      </c>
    </row>
    <row r="192" ht="78.75" customHeight="1">
      <c r="A192">
</c>
      <c r="B192">
</c>
      <c r="C192" s="13">
</c>
      <c r="D192" s="13">
</c>
      <c r="E192">
</c>
      <c r="F192">
</c>
      <c r="G192" s="9" cm="1" t="str">
        <f t="array" ref="G192">IF(F192="","",SUBSTITUTE(SUBSTITUTE(SUBSTITUTE(SUBSTITUTE(F192,"&lt;li&gt;",CHAR(10)),"&lt;/li&gt;",""),"&lt;br&gt;",CHAR(10)),"&lt;strong&gt;",""))</f>
        <v/>
      </c>
      <c r="H192" s="9" cm="1" t="str">
        <f t="array" ref="H192">IF(G192="","",SUBSTITUTE(SUBSTITUTE(SUBSTITUTE(SUBSTITUTE(SUBSTITUTE(G192,"&lt;p&gt;",""),"&lt;/p&gt;",""),"&lt;ul&gt;",""),"&lt;/ul&gt;",""),"&lt;/strong&gt;",""))</f>
        <v/>
      </c>
      <c r="I192" s="9" cm="1" t="str">
        <f t="array" ref="I192">IF(C192="","",IF(OR(H192="",H192=0,H192=FALSE),"-",H192))</f>
        <v/>
      </c>
      <c r="J192">
</c>
      <c r="K192">
</c>
      <c r="L192" s="4" cm="1" t="str">
        <f t="array" ref="L192">IF(C192="","",IF(K192="Mort / Plus rien à faire","KO","OK"))</f>
        <v/>
      </c>
      <c r="M192" s="14">
</c>
      <c r="N192" s="10" cm="1" t="str">
        <f t="array" ref="N192">IF(OR(C192="",M192="",M192=0),"",M192)</f>
        <v/>
      </c>
      <c r="O192" s="14">
</c>
      <c r="P192" s="10" cm="1" t="str">
        <f t="array" ref="P192">IF(C192="","",IF(OR(O192="",O192=0),"-",O192))</f>
        <v/>
      </c>
      <c r="Q192" s="15">
</c>
      <c r="R192" s="4" cm="1" t="str">
        <f t="array" ref="R192">IF(C192="","",ROUND(Q192/1000000,3)&amp;" M€")</f>
        <v/>
      </c>
      <c r="S192" s="16">
</c>
      <c r="T192" s="4" cm="1" t="str">
        <f t="array" ref="T192">IF(C192="","",SUBSTITUTE(S192,"","")&amp;"%")</f>
        <v/>
      </c>
      <c r="U192" s="4" cm="1" t="str">
        <f t="array" ref="U192">IF(($N192="")*($P192=""),"",IF(($N192&lt;&gt;"")*($N192&gt;TODAY()-9)*($N192&lt;TODAY()+1)*($P192&lt;&gt;"")*($P192&gt;=TODAY())*($P192&lt;=TODAY()+13),"Semaine passée &amp; à venir",IF(($N192&lt;&gt;"")*($N192&gt;TODAY()-9)*($N192&lt;TODAY()+1),"Semaine passée",IF(($P192&lt;&gt;"")*($P192&gt;=TODAY())*($P192&lt;=TODAY()+13),"À venir","Autre"))))</f>
        <v/>
      </c>
      <c r="V192" cm="1" t="n">
        <f t="array" ref="V192">IF(C192&lt;&gt;"",1,0)</f>
        <v>0</v>
      </c>
    </row>
    <row r="193" ht="78.75" customHeight="1">
      <c r="A193">
</c>
      <c r="B193">
</c>
      <c r="C193" s="13">
</c>
      <c r="D193" s="13">
</c>
      <c r="E193">
</c>
      <c r="F193">
</c>
      <c r="G193" s="9" cm="1" t="str">
        <f t="array" ref="G193">IF(F193="","",SUBSTITUTE(SUBSTITUTE(SUBSTITUTE(SUBSTITUTE(F193,"&lt;li&gt;",CHAR(10)),"&lt;/li&gt;",""),"&lt;br&gt;",CHAR(10)),"&lt;strong&gt;",""))</f>
        <v/>
      </c>
      <c r="H193" s="9" cm="1" t="str">
        <f t="array" ref="H193">IF(G193="","",SUBSTITUTE(SUBSTITUTE(SUBSTITUTE(SUBSTITUTE(SUBSTITUTE(G193,"&lt;p&gt;",""),"&lt;/p&gt;",""),"&lt;ul&gt;",""),"&lt;/ul&gt;",""),"&lt;/strong&gt;",""))</f>
        <v/>
      </c>
      <c r="I193" s="9" cm="1" t="str">
        <f t="array" ref="I193">IF(C193="","",IF(OR(H193="",H193=0,H193=FALSE),"-",H193))</f>
        <v/>
      </c>
      <c r="J193">
</c>
      <c r="K193">
</c>
      <c r="L193" s="4" cm="1" t="str">
        <f t="array" ref="L193">IF(C193="","",IF(K193="Mort / Plus rien à faire","KO","OK"))</f>
        <v/>
      </c>
      <c r="M193" s="14">
</c>
      <c r="N193" s="10" cm="1" t="str">
        <f t="array" ref="N193">IF(OR(C193="",M193="",M193=0),"",M193)</f>
        <v/>
      </c>
      <c r="O193" s="14">
</c>
      <c r="P193" s="10" cm="1" t="str">
        <f t="array" ref="P193">IF(C193="","",IF(OR(O193="",O193=0),"-",O193))</f>
        <v/>
      </c>
      <c r="Q193" s="15">
</c>
      <c r="R193" s="4" cm="1" t="str">
        <f t="array" ref="R193">IF(C193="","",ROUND(Q193/1000000,3)&amp;" M€")</f>
        <v/>
      </c>
      <c r="S193" s="16">
</c>
      <c r="T193" s="4" cm="1" t="str">
        <f t="array" ref="T193">IF(C193="","",SUBSTITUTE(S193,"","")&amp;"%")</f>
        <v/>
      </c>
      <c r="U193" s="4" cm="1" t="str">
        <f t="array" ref="U193">IF(($N193="")*($P193=""),"",IF(($N193&lt;&gt;"")*($N193&gt;TODAY()-9)*($N193&lt;TODAY()+1)*($P193&lt;&gt;"")*($P193&gt;=TODAY())*($P193&lt;=TODAY()+13),"Semaine passée &amp; à venir",IF(($N193&lt;&gt;"")*($N193&gt;TODAY()-9)*($N193&lt;TODAY()+1),"Semaine passée",IF(($P193&lt;&gt;"")*($P193&gt;=TODAY())*($P193&lt;=TODAY()+13),"À venir","Autre"))))</f>
        <v/>
      </c>
      <c r="V193" cm="1" t="n">
        <f t="array" ref="V193">IF(C193&lt;&gt;"",1,0)</f>
        <v>0</v>
      </c>
    </row>
    <row r="194" ht="78.75" customHeight="1">
      <c r="A194">
</c>
      <c r="B194">
</c>
      <c r="C194" s="13">
</c>
      <c r="D194" s="13">
</c>
      <c r="E194">
</c>
      <c r="F194">
</c>
      <c r="G194" s="9" cm="1" t="str">
        <f t="array" ref="G194">IF(F194="","",SUBSTITUTE(SUBSTITUTE(SUBSTITUTE(SUBSTITUTE(F194,"&lt;li&gt;",CHAR(10)),"&lt;/li&gt;",""),"&lt;br&gt;",CHAR(10)),"&lt;strong&gt;",""))</f>
        <v/>
      </c>
      <c r="H194" s="9" cm="1" t="str">
        <f t="array" ref="H194">IF(G194="","",SUBSTITUTE(SUBSTITUTE(SUBSTITUTE(SUBSTITUTE(SUBSTITUTE(G194,"&lt;p&gt;",""),"&lt;/p&gt;",""),"&lt;ul&gt;",""),"&lt;/ul&gt;",""),"&lt;/strong&gt;",""))</f>
        <v/>
      </c>
      <c r="I194" s="9" cm="1" t="str">
        <f t="array" ref="I194">IF(C194="","",IF(OR(H194="",H194=0,H194=FALSE),"-",H194))</f>
        <v/>
      </c>
      <c r="J194">
</c>
      <c r="K194">
</c>
      <c r="L194" s="4" cm="1" t="str">
        <f t="array" ref="L194">IF(C194="","",IF(K194="Mort / Plus rien à faire","KO","OK"))</f>
        <v/>
      </c>
      <c r="M194" s="14">
</c>
      <c r="N194" s="10" cm="1" t="str">
        <f t="array" ref="N194">IF(OR(C194="",M194="",M194=0),"",M194)</f>
        <v/>
      </c>
      <c r="O194" s="14">
</c>
      <c r="P194" s="10" cm="1" t="str">
        <f t="array" ref="P194">IF(C194="","",IF(OR(O194="",O194=0),"-",O194))</f>
        <v/>
      </c>
      <c r="Q194" s="15">
</c>
      <c r="R194" s="4" cm="1" t="str">
        <f t="array" ref="R194">IF(C194="","",ROUND(Q194/1000000,3)&amp;" M€")</f>
        <v/>
      </c>
      <c r="S194" s="16">
</c>
      <c r="T194" s="4" cm="1" t="str">
        <f t="array" ref="T194">IF(C194="","",SUBSTITUTE(S194,"","")&amp;"%")</f>
        <v/>
      </c>
      <c r="U194" s="4" cm="1" t="str">
        <f t="array" ref="U194">IF(($N194="")*($P194=""),"",IF(($N194&lt;&gt;"")*($N194&gt;TODAY()-9)*($N194&lt;TODAY()+1)*($P194&lt;&gt;"")*($P194&gt;=TODAY())*($P194&lt;=TODAY()+13),"Semaine passée &amp; à venir",IF(($N194&lt;&gt;"")*($N194&gt;TODAY()-9)*($N194&lt;TODAY()+1),"Semaine passée",IF(($P194&lt;&gt;"")*($P194&gt;=TODAY())*($P194&lt;=TODAY()+13),"À venir","Autre"))))</f>
        <v/>
      </c>
      <c r="V194" cm="1" t="n">
        <f t="array" ref="V194">IF(C194&lt;&gt;"",1,0)</f>
        <v>0</v>
      </c>
    </row>
    <row r="195" ht="78.75" customHeight="1">
      <c r="A195">
</c>
      <c r="B195">
</c>
      <c r="C195" s="13">
</c>
      <c r="D195" s="13">
</c>
      <c r="E195">
</c>
      <c r="F195">
</c>
      <c r="G195" s="9" cm="1" t="str">
        <f t="array" ref="G195">IF(F195="","",SUBSTITUTE(SUBSTITUTE(SUBSTITUTE(SUBSTITUTE(F195,"&lt;li&gt;",CHAR(10)),"&lt;/li&gt;",""),"&lt;br&gt;",CHAR(10)),"&lt;strong&gt;",""))</f>
        <v/>
      </c>
      <c r="H195" s="9" cm="1" t="str">
        <f t="array" ref="H195">IF(G195="","",SUBSTITUTE(SUBSTITUTE(SUBSTITUTE(SUBSTITUTE(SUBSTITUTE(G195,"&lt;p&gt;",""),"&lt;/p&gt;",""),"&lt;ul&gt;",""),"&lt;/ul&gt;",""),"&lt;/strong&gt;",""))</f>
        <v/>
      </c>
      <c r="I195" s="9" cm="1" t="str">
        <f t="array" ref="I195">IF(C195="","",IF(OR(H195="",H195=0,H195=FALSE),"-",H195))</f>
        <v/>
      </c>
      <c r="J195">
</c>
      <c r="K195">
</c>
      <c r="L195" s="4" cm="1" t="str">
        <f t="array" ref="L195">IF(C195="","",IF(K195="Mort / Plus rien à faire","KO","OK"))</f>
        <v/>
      </c>
      <c r="M195" s="14">
</c>
      <c r="N195" s="10" cm="1" t="str">
        <f t="array" ref="N195">IF(OR(C195="",M195="",M195=0),"",M195)</f>
        <v/>
      </c>
      <c r="O195" s="14">
</c>
      <c r="P195" s="10" cm="1" t="str">
        <f t="array" ref="P195">IF(C195="","",IF(OR(O195="",O195=0),"-",O195))</f>
        <v/>
      </c>
      <c r="Q195" s="15">
</c>
      <c r="R195" s="4" cm="1" t="str">
        <f t="array" ref="R195">IF(C195="","",ROUND(Q195/1000000,3)&amp;" M€")</f>
        <v/>
      </c>
      <c r="S195" s="16">
</c>
      <c r="T195" s="4" cm="1" t="str">
        <f t="array" ref="T195">IF(C195="","",SUBSTITUTE(S195,"","")&amp;"%")</f>
        <v/>
      </c>
      <c r="U195" s="4" cm="1" t="str">
        <f t="array" ref="U195">IF(($N195="")*($P195=""),"",IF(($N195&lt;&gt;"")*($N195&gt;TODAY()-9)*($N195&lt;TODAY()+1)*($P195&lt;&gt;"")*($P195&gt;=TODAY())*($P195&lt;=TODAY()+13),"Semaine passée &amp; à venir",IF(($N195&lt;&gt;"")*($N195&gt;TODAY()-9)*($N195&lt;TODAY()+1),"Semaine passée",IF(($P195&lt;&gt;"")*($P195&gt;=TODAY())*($P195&lt;=TODAY()+13),"À venir","Autre"))))</f>
        <v/>
      </c>
      <c r="V195" cm="1" t="n">
        <f t="array" ref="V195">IF(C195&lt;&gt;"",1,0)</f>
        <v>0</v>
      </c>
    </row>
    <row r="196" ht="78.75" customHeight="1">
      <c r="A196">
</c>
      <c r="B196">
</c>
      <c r="C196" s="13">
</c>
      <c r="D196" s="13">
</c>
      <c r="E196">
</c>
      <c r="F196">
</c>
      <c r="G196" s="9" cm="1" t="str">
        <f t="array" ref="G196">IF(F196="","",SUBSTITUTE(SUBSTITUTE(SUBSTITUTE(SUBSTITUTE(F196,"&lt;li&gt;",CHAR(10)),"&lt;/li&gt;",""),"&lt;br&gt;",CHAR(10)),"&lt;strong&gt;",""))</f>
        <v/>
      </c>
      <c r="H196" s="9" cm="1" t="str">
        <f t="array" ref="H196">IF(G196="","",SUBSTITUTE(SUBSTITUTE(SUBSTITUTE(SUBSTITUTE(SUBSTITUTE(G196,"&lt;p&gt;",""),"&lt;/p&gt;",""),"&lt;ul&gt;",""),"&lt;/ul&gt;",""),"&lt;/strong&gt;",""))</f>
        <v/>
      </c>
      <c r="I196" s="9" cm="1" t="str">
        <f t="array" ref="I196">IF(C196="","",IF(OR(H196="",H196=0,H196=FALSE),"-",H196))</f>
        <v/>
      </c>
      <c r="J196">
</c>
      <c r="K196">
</c>
      <c r="L196" s="4" cm="1" t="str">
        <f t="array" ref="L196">IF(C196="","",IF(K196="Mort / Plus rien à faire","KO","OK"))</f>
        <v/>
      </c>
      <c r="M196" s="14">
</c>
      <c r="N196" s="10" cm="1" t="str">
        <f t="array" ref="N196">IF(OR(C196="",M196="",M196=0),"",M196)</f>
        <v/>
      </c>
      <c r="O196" s="14">
</c>
      <c r="P196" s="10" cm="1" t="str">
        <f t="array" ref="P196">IF(C196="","",IF(OR(O196="",O196=0),"-",O196))</f>
        <v/>
      </c>
      <c r="Q196" s="15">
</c>
      <c r="R196" s="4" cm="1" t="str">
        <f t="array" ref="R196">IF(C196="","",ROUND(Q196/1000000,3)&amp;" M€")</f>
        <v/>
      </c>
      <c r="S196" s="16">
</c>
      <c r="T196" s="4" cm="1" t="str">
        <f t="array" ref="T196">IF(C196="","",SUBSTITUTE(S196,"","")&amp;"%")</f>
        <v/>
      </c>
      <c r="U196" s="4" cm="1" t="str">
        <f t="array" ref="U196">IF(($N196="")*($P196=""),"",IF(($N196&lt;&gt;"")*($N196&gt;TODAY()-9)*($N196&lt;TODAY()+1)*($P196&lt;&gt;"")*($P196&gt;=TODAY())*($P196&lt;=TODAY()+13),"Semaine passée &amp; à venir",IF(($N196&lt;&gt;"")*($N196&gt;TODAY()-9)*($N196&lt;TODAY()+1),"Semaine passée",IF(($P196&lt;&gt;"")*($P196&gt;=TODAY())*($P196&lt;=TODAY()+13),"À venir","Autre"))))</f>
        <v/>
      </c>
      <c r="V196" cm="1" t="n">
        <f t="array" ref="V196">IF(C196&lt;&gt;"",1,0)</f>
        <v>0</v>
      </c>
    </row>
    <row r="197" ht="78.75" customHeight="1">
      <c r="A197">
</c>
      <c r="B197">
</c>
      <c r="C197" s="13">
</c>
      <c r="D197" s="13">
</c>
      <c r="E197">
</c>
      <c r="F197">
</c>
      <c r="G197" s="9" cm="1" t="str">
        <f t="array" ref="G197">IF(F197="","",SUBSTITUTE(SUBSTITUTE(SUBSTITUTE(SUBSTITUTE(F197,"&lt;li&gt;",CHAR(10)),"&lt;/li&gt;",""),"&lt;br&gt;",CHAR(10)),"&lt;strong&gt;",""))</f>
        <v/>
      </c>
      <c r="H197" s="9" cm="1" t="str">
        <f t="array" ref="H197">IF(G197="","",SUBSTITUTE(SUBSTITUTE(SUBSTITUTE(SUBSTITUTE(SUBSTITUTE(G197,"&lt;p&gt;",""),"&lt;/p&gt;",""),"&lt;ul&gt;",""),"&lt;/ul&gt;",""),"&lt;/strong&gt;",""))</f>
        <v/>
      </c>
      <c r="I197" s="9" cm="1" t="str">
        <f t="array" ref="I197">IF(C197="","",IF(OR(H197="",H197=0,H197=FALSE),"-",H197))</f>
        <v/>
      </c>
      <c r="J197">
</c>
      <c r="K197">
</c>
      <c r="L197" s="4" cm="1" t="str">
        <f t="array" ref="L197">IF(C197="","",IF(K197="Mort / Plus rien à faire","KO","OK"))</f>
        <v/>
      </c>
      <c r="M197" s="14">
</c>
      <c r="N197" s="10" cm="1" t="str">
        <f t="array" ref="N197">IF(OR(C197="",M197="",M197=0),"",M197)</f>
        <v/>
      </c>
      <c r="O197" s="14">
</c>
      <c r="P197" s="10" cm="1" t="str">
        <f t="array" ref="P197">IF(C197="","",IF(OR(O197="",O197=0),"-",O197))</f>
        <v/>
      </c>
      <c r="Q197" s="15">
</c>
      <c r="R197" s="4" cm="1" t="str">
        <f t="array" ref="R197">IF(C197="","",ROUND(Q197/1000000,3)&amp;" M€")</f>
        <v/>
      </c>
      <c r="S197" s="16">
</c>
      <c r="T197" s="4" cm="1" t="str">
        <f t="array" ref="T197">IF(C197="","",SUBSTITUTE(S197,"","")&amp;"%")</f>
        <v/>
      </c>
      <c r="U197" s="4" cm="1" t="str">
        <f t="array" ref="U197">IF(($N197="")*($P197=""),"",IF(($N197&lt;&gt;"")*($N197&gt;TODAY()-9)*($N197&lt;TODAY()+1)*($P197&lt;&gt;"")*($P197&gt;=TODAY())*($P197&lt;=TODAY()+13),"Semaine passée &amp; à venir",IF(($N197&lt;&gt;"")*($N197&gt;TODAY()-9)*($N197&lt;TODAY()+1),"Semaine passée",IF(($P197&lt;&gt;"")*($P197&gt;=TODAY())*($P197&lt;=TODAY()+13),"À venir","Autre"))))</f>
        <v/>
      </c>
      <c r="V197" cm="1" t="n">
        <f t="array" ref="V197">IF(C197&lt;&gt;"",1,0)</f>
        <v>0</v>
      </c>
    </row>
    <row r="198" ht="78.75" customHeight="1">
      <c r="A198">
</c>
      <c r="B198">
</c>
      <c r="C198" s="13">
</c>
      <c r="D198" s="13">
</c>
      <c r="E198">
</c>
      <c r="F198">
</c>
      <c r="G198" s="9" cm="1" t="str">
        <f t="array" ref="G198">IF(F198="","",SUBSTITUTE(SUBSTITUTE(SUBSTITUTE(SUBSTITUTE(F198,"&lt;li&gt;",CHAR(10)),"&lt;/li&gt;",""),"&lt;br&gt;",CHAR(10)),"&lt;strong&gt;",""))</f>
        <v/>
      </c>
      <c r="H198" s="9" cm="1" t="str">
        <f t="array" ref="H198">IF(G198="","",SUBSTITUTE(SUBSTITUTE(SUBSTITUTE(SUBSTITUTE(SUBSTITUTE(G198,"&lt;p&gt;",""),"&lt;/p&gt;",""),"&lt;ul&gt;",""),"&lt;/ul&gt;",""),"&lt;/strong&gt;",""))</f>
        <v/>
      </c>
      <c r="I198" s="9" cm="1" t="str">
        <f t="array" ref="I198">IF(C198="","",IF(OR(H198="",H198=0,H198=FALSE),"-",H198))</f>
        <v/>
      </c>
      <c r="J198">
</c>
      <c r="K198">
</c>
      <c r="L198" s="4" cm="1" t="str">
        <f t="array" ref="L198">IF(C198="","",IF(K198="Mort / Plus rien à faire","KO","OK"))</f>
        <v/>
      </c>
      <c r="M198" s="14">
</c>
      <c r="N198" s="10" cm="1" t="str">
        <f t="array" ref="N198">IF(OR(C198="",M198="",M198=0),"",M198)</f>
        <v/>
      </c>
      <c r="O198" s="14">
</c>
      <c r="P198" s="10" cm="1" t="str">
        <f t="array" ref="P198">IF(C198="","",IF(OR(O198="",O198=0),"-",O198))</f>
        <v/>
      </c>
      <c r="Q198" s="15">
</c>
      <c r="R198" s="4" cm="1" t="str">
        <f t="array" ref="R198">IF(C198="","",ROUND(Q198/1000000,3)&amp;" M€")</f>
        <v/>
      </c>
      <c r="S198" s="16">
</c>
      <c r="T198" s="4" cm="1" t="str">
        <f t="array" ref="T198">IF(C198="","",SUBSTITUTE(S198,"","")&amp;"%")</f>
        <v/>
      </c>
      <c r="U198" s="4" cm="1" t="str">
        <f t="array" ref="U198">IF(($N198="")*($P198=""),"",IF(($N198&lt;&gt;"")*($N198&gt;TODAY()-9)*($N198&lt;TODAY()+1)*($P198&lt;&gt;"")*($P198&gt;=TODAY())*($P198&lt;=TODAY()+13),"Semaine passée &amp; à venir",IF(($N198&lt;&gt;"")*($N198&gt;TODAY()-9)*($N198&lt;TODAY()+1),"Semaine passée",IF(($P198&lt;&gt;"")*($P198&gt;=TODAY())*($P198&lt;=TODAY()+13),"À venir","Autre"))))</f>
        <v/>
      </c>
      <c r="V198" cm="1" t="n">
        <f t="array" ref="V198">IF(C198&lt;&gt;"",1,0)</f>
        <v>0</v>
      </c>
    </row>
    <row r="199" ht="78.75" customHeight="1">
      <c r="A199">
</c>
      <c r="B199">
</c>
      <c r="C199" s="13">
</c>
      <c r="D199" s="13">
</c>
      <c r="E199">
</c>
      <c r="F199">
</c>
      <c r="G199" s="9" cm="1" t="str">
        <f t="array" ref="G199">IF(F199="","",SUBSTITUTE(SUBSTITUTE(SUBSTITUTE(SUBSTITUTE(F199,"&lt;li&gt;",CHAR(10)),"&lt;/li&gt;",""),"&lt;br&gt;",CHAR(10)),"&lt;strong&gt;",""))</f>
        <v/>
      </c>
      <c r="H199" s="9" cm="1" t="str">
        <f t="array" ref="H199">IF(G199="","",SUBSTITUTE(SUBSTITUTE(SUBSTITUTE(SUBSTITUTE(SUBSTITUTE(G199,"&lt;p&gt;",""),"&lt;/p&gt;",""),"&lt;ul&gt;",""),"&lt;/ul&gt;",""),"&lt;/strong&gt;",""))</f>
        <v/>
      </c>
      <c r="I199" s="9" cm="1" t="str">
        <f t="array" ref="I199">IF(C199="","",IF(OR(H199="",H199=0,H199=FALSE),"-",H199))</f>
        <v/>
      </c>
      <c r="J199">
</c>
      <c r="K199">
</c>
      <c r="L199" s="4" cm="1" t="str">
        <f t="array" ref="L199">IF(C199="","",IF(K199="Mort / Plus rien à faire","KO","OK"))</f>
        <v/>
      </c>
      <c r="M199" s="14">
</c>
      <c r="N199" s="10" cm="1" t="str">
        <f t="array" ref="N199">IF(OR(C199="",M199="",M199=0),"",M199)</f>
        <v/>
      </c>
      <c r="O199" s="14">
</c>
      <c r="P199" s="10" cm="1" t="str">
        <f t="array" ref="P199">IF(C199="","",IF(OR(O199="",O199=0),"-",O199))</f>
        <v/>
      </c>
      <c r="Q199" s="15">
</c>
      <c r="R199" s="4" cm="1" t="str">
        <f t="array" ref="R199">IF(C199="","",ROUND(Q199/1000000,3)&amp;" M€")</f>
        <v/>
      </c>
      <c r="S199" s="16">
</c>
      <c r="T199" s="4" cm="1" t="str">
        <f t="array" ref="T199">IF(C199="","",SUBSTITUTE(S199,"","")&amp;"%")</f>
        <v/>
      </c>
      <c r="U199" s="4" cm="1" t="str">
        <f t="array" ref="U199">IF(($N199="")*($P199=""),"",IF(($N199&lt;&gt;"")*($N199&gt;TODAY()-9)*($N199&lt;TODAY()+1)*($P199&lt;&gt;"")*($P199&gt;=TODAY())*($P199&lt;=TODAY()+13),"Semaine passée &amp; à venir",IF(($N199&lt;&gt;"")*($N199&gt;TODAY()-9)*($N199&lt;TODAY()+1),"Semaine passée",IF(($P199&lt;&gt;"")*($P199&gt;=TODAY())*($P199&lt;=TODAY()+13),"À venir","Autre"))))</f>
        <v/>
      </c>
      <c r="V199" cm="1" t="n">
        <f t="array" ref="V199">IF(C199&lt;&gt;"",1,0)</f>
        <v>0</v>
      </c>
    </row>
    <row r="200" ht="78.75" customHeight="1">
      <c r="A200">
</c>
      <c r="B200">
</c>
      <c r="C200" s="13">
</c>
      <c r="D200" s="13">
</c>
      <c r="E200">
</c>
      <c r="F200">
</c>
      <c r="G200" s="9" cm="1" t="str">
        <f t="array" ref="G200">IF(F200="","",SUBSTITUTE(SUBSTITUTE(SUBSTITUTE(SUBSTITUTE(F200,"&lt;li&gt;",CHAR(10)),"&lt;/li&gt;",""),"&lt;br&gt;",CHAR(10)),"&lt;strong&gt;",""))</f>
        <v/>
      </c>
      <c r="H200" s="9" cm="1" t="str">
        <f t="array" ref="H200">IF(G200="","",SUBSTITUTE(SUBSTITUTE(SUBSTITUTE(SUBSTITUTE(SUBSTITUTE(G200,"&lt;p&gt;",""),"&lt;/p&gt;",""),"&lt;ul&gt;",""),"&lt;/ul&gt;",""),"&lt;/strong&gt;",""))</f>
        <v/>
      </c>
      <c r="I200" s="9" cm="1" t="str">
        <f t="array" ref="I200">IF(C200="","",IF(OR(H200="",H200=0,H200=FALSE),"-",H200))</f>
        <v/>
      </c>
      <c r="J200">
</c>
      <c r="K200">
</c>
      <c r="L200" s="4" cm="1" t="str">
        <f t="array" ref="L200">IF(C200="","",IF(K200="Mort / Plus rien à faire","KO","OK"))</f>
        <v/>
      </c>
      <c r="M200" s="14">
</c>
      <c r="N200" s="10" cm="1" t="str">
        <f t="array" ref="N200">IF(OR(C200="",M200="",M200=0),"",M200)</f>
        <v/>
      </c>
      <c r="O200" s="14">
</c>
      <c r="P200" s="10" cm="1" t="str">
        <f t="array" ref="P200">IF(C200="","",IF(OR(O200="",O200=0),"-",O200))</f>
        <v/>
      </c>
      <c r="Q200" s="15">
</c>
      <c r="R200" s="4" cm="1" t="str">
        <f t="array" ref="R200">IF(C200="","",ROUND(Q200/1000000,3)&amp;" M€")</f>
        <v/>
      </c>
      <c r="S200" s="16">
</c>
      <c r="T200" s="4" cm="1" t="str">
        <f t="array" ref="T200">IF(C200="","",SUBSTITUTE(S200,"","")&amp;"%")</f>
        <v/>
      </c>
      <c r="U200" s="4" cm="1" t="str">
        <f t="array" ref="U200">IF(($N200="")*($P200=""),"",IF(($N200&lt;&gt;"")*($N200&gt;TODAY()-9)*($N200&lt;TODAY()+1)*($P200&lt;&gt;"")*($P200&gt;=TODAY())*($P200&lt;=TODAY()+13),"Semaine passée &amp; à venir",IF(($N200&lt;&gt;"")*($N200&gt;TODAY()-9)*($N200&lt;TODAY()+1),"Semaine passée",IF(($P200&lt;&gt;"")*($P200&gt;=TODAY())*($P200&lt;=TODAY()+13),"À venir","Autre"))))</f>
        <v/>
      </c>
      <c r="V200" cm="1" t="n">
        <f t="array" ref="V200">IF(C200&lt;&gt;"",1,0)</f>
        <v>0</v>
      </c>
    </row>
    <row r="201" ht="78.75" customHeight="1">
      <c r="A201">
</c>
      <c r="B201">
</c>
      <c r="C201" s="13">
</c>
      <c r="D201" s="13">
</c>
      <c r="E201">
</c>
      <c r="F201">
</c>
      <c r="G201" s="9" cm="1" t="str">
        <f t="array" ref="G201">IF(F201="","",SUBSTITUTE(SUBSTITUTE(SUBSTITUTE(SUBSTITUTE(F201,"&lt;li&gt;",CHAR(10)),"&lt;/li&gt;",""),"&lt;br&gt;",CHAR(10)),"&lt;strong&gt;",""))</f>
        <v/>
      </c>
      <c r="H201" s="9" cm="1" t="str">
        <f t="array" ref="H201">IF(G201="","",SUBSTITUTE(SUBSTITUTE(SUBSTITUTE(SUBSTITUTE(SUBSTITUTE(G201,"&lt;p&gt;",""),"&lt;/p&gt;",""),"&lt;ul&gt;",""),"&lt;/ul&gt;",""),"&lt;/strong&gt;",""))</f>
        <v/>
      </c>
      <c r="I201" s="9" cm="1" t="str">
        <f t="array" ref="I201">IF(C201="","",IF(OR(H201="",H201=0,H201=FALSE),"-",H201))</f>
        <v/>
      </c>
      <c r="J201">
</c>
      <c r="K201">
</c>
      <c r="L201" s="4" cm="1" t="str">
        <f t="array" ref="L201">IF(C201="","",IF(K201="Mort / Plus rien à faire","KO","OK"))</f>
        <v/>
      </c>
      <c r="M201" s="14">
</c>
      <c r="N201" s="10" cm="1" t="str">
        <f t="array" ref="N201">IF(OR(C201="",M201="",M201=0),"",M201)</f>
        <v/>
      </c>
      <c r="O201" s="14">
</c>
      <c r="P201" s="10" cm="1" t="str">
        <f t="array" ref="P201">IF(C201="","",IF(OR(O201="",O201=0),"-",O201))</f>
        <v/>
      </c>
      <c r="Q201" s="15">
</c>
      <c r="R201" s="4" cm="1" t="str">
        <f t="array" ref="R201">IF(C201="","",ROUND(Q201/1000000,3)&amp;" M€")</f>
        <v/>
      </c>
      <c r="S201" s="16">
</c>
      <c r="T201" s="4" cm="1" t="str">
        <f t="array" ref="T201">IF(C201="","",SUBSTITUTE(S201,"","")&amp;"%")</f>
        <v/>
      </c>
      <c r="U201" s="4" cm="1" t="str">
        <f t="array" ref="U201">IF(($N201="")*($P201=""),"",IF(($N201&lt;&gt;"")*($N201&gt;TODAY()-9)*($N201&lt;TODAY()+1)*($P201&lt;&gt;"")*($P201&gt;=TODAY())*($P201&lt;=TODAY()+13),"Semaine passée &amp; à venir",IF(($N201&lt;&gt;"")*($N201&gt;TODAY()-9)*($N201&lt;TODAY()+1),"Semaine passée",IF(($P201&lt;&gt;"")*($P201&gt;=TODAY())*($P201&lt;=TODAY()+13),"À venir","Autre"))))</f>
        <v/>
      </c>
      <c r="V201" cm="1" t="n">
        <f t="array" ref="V201">IF(C201&lt;&gt;"",1,0)</f>
        <v>0</v>
      </c>
    </row>
    <row r="202" ht="78.75" customHeight="1">
      <c r="A202">
</c>
      <c r="B202">
</c>
      <c r="C202" s="13">
</c>
      <c r="D202" s="13">
</c>
      <c r="E202">
</c>
      <c r="F202">
</c>
      <c r="G202" s="9" cm="1" t="str">
        <f t="array" ref="G202">IF(F202="","",SUBSTITUTE(SUBSTITUTE(SUBSTITUTE(SUBSTITUTE(F202,"&lt;li&gt;",CHAR(10)),"&lt;/li&gt;",""),"&lt;br&gt;",CHAR(10)),"&lt;strong&gt;",""))</f>
        <v/>
      </c>
      <c r="H202" s="9" cm="1" t="str">
        <f t="array" ref="H202">IF(G202="","",SUBSTITUTE(SUBSTITUTE(SUBSTITUTE(SUBSTITUTE(SUBSTITUTE(G202,"&lt;p&gt;",""),"&lt;/p&gt;",""),"&lt;ul&gt;",""),"&lt;/ul&gt;",""),"&lt;/strong&gt;",""))</f>
        <v/>
      </c>
      <c r="I202" s="9" cm="1" t="str">
        <f t="array" ref="I202">IF(C202="","",IF(OR(H202="",H202=0,H202=FALSE),"-",H202))</f>
        <v/>
      </c>
      <c r="J202">
</c>
      <c r="K202">
</c>
      <c r="L202" s="4" cm="1" t="str">
        <f t="array" ref="L202">IF(C202="","",IF(K202="Mort / Plus rien à faire","KO","OK"))</f>
        <v/>
      </c>
      <c r="M202" s="14">
</c>
      <c r="N202" s="10" cm="1" t="str">
        <f t="array" ref="N202">IF(OR(C202="",M202="",M202=0),"",M202)</f>
        <v/>
      </c>
      <c r="O202" s="14">
</c>
      <c r="P202" s="10" cm="1" t="str">
        <f t="array" ref="P202">IF(C202="","",IF(OR(O202="",O202=0),"-",O202))</f>
        <v/>
      </c>
      <c r="Q202" s="15">
</c>
      <c r="R202" s="4" cm="1" t="str">
        <f t="array" ref="R202">IF(C202="","",ROUND(Q202/1000000,3)&amp;" M€")</f>
        <v/>
      </c>
      <c r="S202" s="16">
</c>
      <c r="T202" s="4" cm="1" t="str">
        <f t="array" ref="T202">IF(C202="","",SUBSTITUTE(S202,"","")&amp;"%")</f>
        <v/>
      </c>
      <c r="U202" s="4" cm="1" t="str">
        <f t="array" ref="U202">IF(($N202="")*($P202=""),"",IF(($N202&lt;&gt;"")*($N202&gt;TODAY()-9)*($N202&lt;TODAY()+1)*($P202&lt;&gt;"")*($P202&gt;=TODAY())*($P202&lt;=TODAY()+13),"Semaine passée &amp; à venir",IF(($N202&lt;&gt;"")*($N202&gt;TODAY()-9)*($N202&lt;TODAY()+1),"Semaine passée",IF(($P202&lt;&gt;"")*($P202&gt;=TODAY())*($P202&lt;=TODAY()+13),"À venir","Autre"))))</f>
        <v/>
      </c>
      <c r="V202" cm="1" t="n">
        <f t="array" ref="V202">IF(C202&lt;&gt;"",1,0)</f>
        <v>0</v>
      </c>
    </row>
  </sheetData>
  <conditionalFormatting sqref="N4:N202">
    <cfRule priority="1" stopIfTrue="0" type="expression" dxfId="0">
      <formula>($N4&lt;&gt;"")*(($N4&gt;TODAY()-9)*($N4&lt;TODAY()+1)+(INT($N4)=TODAY()))
</formula>
    </cfRule>
  </conditionalFormatting>
  <conditionalFormatting sqref="P4:P202">
    <cfRule priority="1" stopIfTrue="0" type="expression" dxfId="1">
      <formula>($P4&lt;&gt;"")*($P4&gt;=TODAY())*($P4&lt;=TODAY()+13)</formula>
    </cfRule>
  </conditionalFormatting>
  <conditionalFormatting sqref="I4:I202">
    <cfRule priority="1" stopIfTrue="0" type="expression" dxfId="0">
      <formula>(($N4&lt;&gt;"")*($N4&gt;TODAY()-9)*($N4&lt;=TODAY())) + (($P4&lt;&gt;"")*($P4&gt;=TODAY())*($P4&lt;=TODAY()+13))</formula>
    </cfRule>
  </conditionalFormatting>
  <conditionalFormatting sqref="U4:U202">
    <cfRule priority="1" stopIfTrue="0" type="containsText" text="Semaine passée &amp; à venir" operator="containsText" dxfId="0">
      <formula>NOT(ISERROR(SEARCH("Semaine passée &amp; à venir",U4)))</formula>
    </cfRule>
  </conditionalFormatting>
  <conditionalFormatting sqref="U4:U202">
    <cfRule priority="1" stopIfTrue="0" type="containsText" text="À venir" operator="containsText" dxfId="0">
      <formula>NOT(ISERROR(SEARCH("À venir",U4)))</formula>
    </cfRule>
  </conditionalFormatting>
  <conditionalFormatting sqref="U4:U202">
    <cfRule priority="1" stopIfTrue="0" type="containsText" text="Semaine passée" operator="containsText" dxfId="0">
      <formula>NOT(ISERROR(SEARCH("Semaine passée",U4)))</formula>
    </cfRule>
  </conditionalFormatting>
  <tableParts count="1">
    <tablePart r:id="rId1"/>
  </tableParts>
</worksheet>
</file>