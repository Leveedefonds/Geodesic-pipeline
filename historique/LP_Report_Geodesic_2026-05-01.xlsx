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<sst xmlns="http://schemas.openxmlformats.org/spreadsheetml/2006/main" count="248" uniqueCount="248">
  <si>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</si>
  <si>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</si>
  <si>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</si>
  <si>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</si>
  <si>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</si>
  <si>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</si>
  <si>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</si>
  <si>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</si>
  <si>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</si>
  <si>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</si>
  <si>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</si>
  <si>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</si>
  <si>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</si>
  <si>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</si>
  <si>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</si>
  <si>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</si>
  <si>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</si>
  <si>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</si>
  <si>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</si>
  <si>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</si>
  <si>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</si>
  <si>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</si>
  <si>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</si>
  <si>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Geodesic-Expansion</t>
  </si>
  <si>
    <t>HNWI</t>
  </si>
  <si>
    <t>Patrick Roser</t>
  </si>
  <si>
    <t>Edouard Gaurier</t>
  </si>
  <si>
    <t>&lt;p&gt;Echange mail 13/04 sur Constellation 3, prospect surpris par les nouvelles du portefeuille, analyse le reporting avant nouvel échange. Pas d'autres actions récentes ni retours téléphoniques. Prochaine étape : attendre retour prospect après étude du reporting.&lt;/p&gt;</t>
  </si>
  <si>
    <t>Souscription réalisée</t>
  </si>
  <si>
    <t>Fabrice de Rohan Chabot</t>
  </si>
  <si>
    <t>&lt;p&gt;Contact CB établi. 28/02/2026 : nouveau 100K engagé dans Géodesic, attente signature BS et virement avant 09/03/2026, date de fin AK privés Géodesic. Suivi en attente, aucune activité complémentaire ni retour prospect sur fonds présentés. Lead créé pour équipe Ventes.&lt;/p&gt;</t>
  </si>
  <si>
    <t>CGP</t>
  </si>
  <si>
    <t>Wagner Gestion Privée</t>
  </si>
  <si>
    <t>Franck GIRARD</t>
  </si>
  <si>
    <t>&lt;p&gt;03/02/2026: Long échange explicatif, confiance renouvelée, décision de maintenir le ticket dans Géodesic. 28/01/2026: Proposition de call 30 min sur remploi pour deux fonds. Lead créé pour équipe Ventes. Pas d'autres activités ni prochaines actions planifiées à ce jour.&lt;/p&gt;</t>
  </si>
  <si>
    <t>Bruno Froideval</t>
  </si>
  <si>
    <t>&lt;p&gt;Piste créée pour équipe Ventes, tentative d'enrichissement échouée (email invalide), aucune activité ou échange significatif enregistré depuis. Opportunité finalisée en octobre 2025, pas d'action ou de suivi récent, aucune prochaine étape identifiée à ce jour.&lt;/p&gt;</t>
  </si>
  <si>
    <t>Multi Family Office</t>
  </si>
  <si>
    <t>SAPIANS</t>
  </si>
  <si>
    <t>Etienne de Saint-germain</t>
  </si>
  <si>
    <t>&lt;p&gt;Piste créée pour équipe Ventes, enrichissement impossible (email invalide), aucune activité ou échange prospect relevé, finalisée en février 2026. Aucune prochaine action prévue, pas de retour prospect ni de conclusion sur fonds présentés.&lt;/p&gt;</t>
  </si>
  <si>
    <t>&lt;p&gt;Nouvelle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t>
  </si>
  <si>
    <t>Pierre Vangeon</t>
  </si>
  <si>
    <t>&lt;p&gt;Nouvelle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t>
  </si>
  <si>
    <t>&lt;p&gt;26/02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t>
  </si>
  <si>
    <t>Déjeuner Possible</t>
  </si>
  <si>
    <t>Interêt indicatif - A creuser</t>
  </si>
  <si>
    <t>Single Family Office</t>
  </si>
  <si>
    <t>RCS SAS Famille Derville</t>
  </si>
  <si>
    <t>Famille Derville</t>
  </si>
  <si>
    <t>&lt;p&gt;Déj. Bourrienne CB, OPNF, RSC SAS avec Famille Derville, Charles, Olivier. Intérêt 1-3M€. Straton et Spatial très intéressés. Call validé pour visites Aldoria/Alta Ares à Paris 4-6 mai. Prochaine étape : visite sur site 4/5/6 mai ALDORIA et ALTA ARES. Pas d'autres actions prévues à ce jour.&lt;/p&gt;</t>
  </si>
  <si>
    <t>visite sur site le 4/5/6 mai ALDORIA et ALTA ARES</t>
  </si>
  <si>
    <t>En Due Diligence</t>
  </si>
  <si>
    <t>DAYLIGHT CONSEILS</t>
  </si>
  <si>
    <t>Dorian Lagarnaudi</t>
  </si>
  <si>
    <t>&lt;p&gt;Déj. Bourrienne CB, OPNF, TS avec Daylight FO (Dorian Lagarnaudie). Appels/échanges sur offres bancaires refinancement 1M Straton, 1M Géodésie. Attente offres écrites banques. Offre prêt BRED/CRCA Picardie attendue 28/04. Signature BS visée 15/06 si offre signée fin avril. Nouvelles dates à fixer.&lt;/p&gt;</t>
  </si>
  <si>
    <t>Dasteria family office Julien Dassault</t>
  </si>
  <si>
    <t>Alexandre Halpern</t>
  </si>
  <si>
    <t>&lt;p&gt;Appels réguliers avec Alexandre Hapern (famille Dassault) sur fonds spatial. Due diligence en cours. Décision potentielle avec Julien Dassault pour ticket juin-juillet 2026. Plusieurs fonds à proposer courant mai. Suivi actif, attente retour prospects sur sélection fonds et perspectives investissement 1-3M.&lt;/p&gt;</t>
  </si>
  <si>
    <t>relancer suite Décision potentielle avec Julien Dassault pour ticket juin-juillet 2026 / 1-3M.</t>
  </si>
  <si>
    <t>SYNAPSIS PATRIMOINE</t>
  </si>
  <si>
    <t>Guillaume Duport</t>
  </si>
  <si>
    <t>Pauline Cavalié</t>
  </si>
  <si>
    <t>&lt;p&gt;Café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Cavalié.&lt;/p&gt;</t>
  </si>
  <si>
    <t>Banque (haut de bilan)</t>
  </si>
  <si>
    <t>CA INDOSUEZ Wealth Management</t>
  </si>
  <si>
    <t>Amaury BALMONT</t>
  </si>
  <si>
    <t>Romain Andrieu</t>
  </si>
  <si>
    <t>&lt;p&gt;Déjeuner avec Benoit Bourdin le 7 avril. Feedback : bascule faite sur Capital Innovation, pas d'intérêt marqué pour Geodesic. Nouvelle piste créée pour l'équipe Ventes. Aucune action future planifiée, pas d'autres retours ou activités en attente. Dernière action le 7 avril.&lt;/p&gt;</t>
  </si>
  <si>
    <t>Intérêt à qualifier</t>
  </si>
  <si>
    <t>FO Wilmouth</t>
  </si>
  <si>
    <t>Alain Wilmouth</t>
  </si>
  <si>
    <t>&lt;p&gt;Alain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financier.&lt;/p&gt;</t>
  </si>
  <si>
    <t>EMERAUDE CAPITAL</t>
  </si>
  <si>
    <t>Benjamin Continente</t>
  </si>
  <si>
    <t>&lt;p&gt;Visio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mars.&lt;/p&gt;</t>
  </si>
  <si>
    <t>Relance</t>
  </si>
  <si>
    <t>Pas encore prêt - A alimenter</t>
  </si>
  <si>
    <t>Gwenn Delamaire</t>
  </si>
  <si>
    <t>Levée de Fonds</t>
  </si>
  <si>
    <t>&lt;p&gt;Lead OdP, piste créée équipe Ventes. 11/03 RDV physique, échange avec OdP : intérêt pour levée Latitude, deal ATDI, événement LP. Pas de retour prospect sur fonds présentés. Dernière action : relance à prévoir (27/04). Prochaine étape : relancer le contact, pas d'autres actions planifiées.&lt;/p&gt;</t>
  </si>
  <si>
    <t>Frédéric Duponchel</t>
  </si>
  <si>
    <t>&lt;p&gt;Lead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stade.&lt;/p&gt;</t>
  </si>
  <si>
    <t>Arwen MFO</t>
  </si>
  <si>
    <t>Gwendal Garrigue</t>
  </si>
  <si>
    <t>&lt;p&gt;09/02 point PTF C2 avec Thomas. 28/04 proposition de rdv faite par Romain à la demande d'Edouard. Lead créé pour équipe Ventes, enrichissement email impossible. Pas d'autres actions ni retours prospect. Prochaine étape : attendre retour suite proposition de rdv.&lt;/p&gt;</t>
  </si>
  <si>
    <t>Norman K</t>
  </si>
  <si>
    <t>Brice Monvoisin</t>
  </si>
  <si>
    <t>&lt;p&gt;03/02/2026: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t>
  </si>
  <si>
    <t>AXIAN</t>
  </si>
  <si>
    <t>Marc Ramilison</t>
  </si>
  <si>
    <t>&lt;p&gt;RDV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t>
  </si>
  <si>
    <t>relance faite GEODESIC (en capacité pour Juin) En attente du retour suite au envoi documentaire et réponses aux questions posées</t>
  </si>
  <si>
    <t>Rydge KPMG</t>
  </si>
  <si>
    <t>Edouard Sommade</t>
  </si>
  <si>
    <t>&lt;p&gt;Intérêt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partenaire.&lt;/p&gt;</t>
  </si>
  <si>
    <t>B Durand MFO</t>
  </si>
  <si>
    <t>David Gau</t>
  </si>
  <si>
    <t>&lt;p&gt;04/02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t>
  </si>
  <si>
    <t>Atrio CGP</t>
  </si>
  <si>
    <t>Julien Lemoine</t>
  </si>
  <si>
    <t>&lt;p&gt;04/02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t>
  </si>
  <si>
    <t>Banque privée</t>
  </si>
  <si>
    <t>Picket Wealth</t>
  </si>
  <si>
    <t>Karine Wilkinson</t>
  </si>
  <si>
    <t>&lt;p&gt;05/02/2026 : Infos transmises, clients potentiellement intéressés, attente confirmation pour fixer rencontre avec Charles. Enrichissement lead impossible (email non valide). Nouvelle piste créée équipe Ventes. Prochaine étape : attente retour client pour RDV.&lt;/p&gt;</t>
  </si>
  <si>
    <t>(co-invest) CAISSE D'EPARGNE PREVOYANCE COTE D'AZUR</t>
  </si>
  <si>
    <t>Alexandra GOLOVANOW</t>
  </si>
  <si>
    <t>&lt;p&gt;RDV le 16 mars à Bourrienne pour revue d'activités, mention du quantique en plus de geodesic. Suivi à faire sur co-investissement Expansion/CECAZ, attente instruction Expansion. Pas de retour prospect sur fonds présentés. Prochaine étape : suivre instruction Expansion, deadline 26/03.&lt;/p&gt;</t>
  </si>
  <si>
    <t>Pour EXPANSION &lt;&gt; co-invest sur le territoire de la CECAZ / suivre l'instruction par Expansion</t>
  </si>
  <si>
    <t>MEESCHAERT GESTION PRIVEE</t>
  </si>
  <si>
    <t>Nicolas Andrieu</t>
  </si>
  <si>
    <t>&lt;p&gt;Piste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t>
  </si>
  <si>
    <t>ALPHIDES CONSEIL</t>
  </si>
  <si>
    <t>Fabien Guedes</t>
  </si>
  <si>
    <t>&lt;p&gt;Point fonds deeptech et remploi clients évoqué 28/01. Tentative enrichissement lead échouée (email invalide). Nouvelle piste créée équipe Ventes. Pas d'activité ou d'échange prospect/équipe détecté depuis, ni prochaines étapes identifiées.&lt;/p&gt;</t>
  </si>
  <si>
    <t>JEFFERIES FINANCES EUROPE, S.L.P.</t>
  </si>
  <si>
    <t>Jerome Delahaye</t>
  </si>
  <si>
    <t>&lt;p&gt;RDV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présenter.&lt;/p&gt;</t>
  </si>
  <si>
    <t>jefferies &lt;&gt; Convention Spatial LP UK /, agenda calé / Expansion sera réprésenté</t>
  </si>
  <si>
    <t>SOFIDY GESTION PRIVEE</t>
  </si>
  <si>
    <t>David Guillemet</t>
  </si>
  <si>
    <t>&lt;p&gt;Piste créée pour équipe Ventes. Appel du 06/03&amp;nbsp;: prospect a des besoins sur 150-0 B ter, RDV tel sur offre actuelle, retour attendu si intérêt clients. Relance mail 30/03 pour prise d'intérêt sur client en remploi. Prochaine étape&amp;nbsp;: attente retour prospect.&lt;/p&gt;</t>
  </si>
  <si>
    <t>Societe Generale Private Banking</t>
  </si>
  <si>
    <t>Julie Nadal</t>
  </si>
  <si>
    <t>&lt;p&gt;Projet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t>
  </si>
  <si>
    <t>Assurance/Mutuelle</t>
  </si>
  <si>
    <t>AMFIE</t>
  </si>
  <si>
    <t>Stephane ARGYROPOULOS</t>
  </si>
  <si>
    <t>&lt;p&gt;Déjeuner 10/03 avec edilia.gaenz@fedora-circle.com (dossier Cérélia). Dernier échange : relancer Stephane sur fonds de fonds. Prochaine action : relance Stephane avant 20/03. Pas de retour prospect sur fonds. Création piste pour équipe Ventes. Aucun avis prospect sur fonds mentionné.&lt;/p&gt;</t>
  </si>
  <si>
    <t>relance faite / pas de réponse / à relancer</t>
  </si>
  <si>
    <t>OUTMATCH INVEST</t>
  </si>
  <si>
    <t>Thomas Sanson</t>
  </si>
  <si>
    <t>&lt;p&gt;Piste OUTMATCH INVEST créée équipe Ventes 28/01. Intérêt souverain noté, pas d'autres échanges ou actions menées. Enrichissement lead impossible (email non valide). Aucune activité ni prochaine étape identifiée à ce jour, pas de retour prospect sur fonds présentés.&lt;/p&gt;</t>
  </si>
  <si>
    <t>ROTHSCHILD MARTIN MAUREL</t>
  </si>
  <si>
    <t>Florian de Billy</t>
  </si>
  <si>
    <t>&lt;p&gt;RDV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t>
  </si>
  <si>
    <t>Nouvelle relance faite</t>
  </si>
  <si>
    <t>OFFICIUM ASSET MANAGEMENT</t>
  </si>
  <si>
    <t>Pierre Salomero</t>
  </si>
  <si>
    <t>&lt;p&gt;Aucune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t>
  </si>
  <si>
    <t>Fiblac</t>
  </si>
  <si>
    <t>Hugo de Gérauvillier</t>
  </si>
  <si>
    <t>&lt;p&gt;Point actu sur fonds deeptech, docs à envoyer pour alimenter. Tentative d'enrichissement lead échouée (email invalide). Nouvelle piste créée pour équipe Ventes. Prochaine étape : envoi de documentation. Pas d'autres actions ou retours prospects mentionnés.&lt;/p&gt;</t>
  </si>
  <si>
    <t>Hedon Family Office</t>
  </si>
  <si>
    <t>Aynard de Mons</t>
  </si>
  <si>
    <t>&lt;p&gt;Aucune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t>
  </si>
  <si>
    <t>relance faite &lt;&gt; me doit ou retour sur une première famille Belgo Luxembourgeoise</t>
  </si>
  <si>
    <t>Conseil</t>
  </si>
  <si>
    <t>LAZARD ASSET MANAGEMENT (UK) HOLDINGS LIMITED</t>
  </si>
  <si>
    <t>Phil MacCartney</t>
  </si>
  <si>
    <t>&lt;p&gt;Nouvelle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interactions.&lt;/p&gt;</t>
  </si>
  <si>
    <t>LEONE KAPITAL</t>
  </si>
  <si>
    <t>Constantin Jahan</t>
  </si>
  <si>
    <t>&lt;p&gt;RDV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t>
  </si>
  <si>
    <t>NEUFLIZE OBC</t>
  </si>
  <si>
    <t>Valery Barbaglia</t>
  </si>
  <si>
    <t>&lt;p&gt;Lead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identifiée.&lt;/p&gt;</t>
  </si>
  <si>
    <t>INHESTIA</t>
  </si>
  <si>
    <t>Benoit COINTE</t>
  </si>
  <si>
    <t>&lt;p&gt;RDV Toulouse 24/03&amp;nbsp;: reporting fonds Constellation 3, clients appétents PME/non coté, philanthropie très valorisée, focus éducation/environnement. Phase d’investissement clients dès avril/mai. Prise de nouvelles avril, envoi article CB. Prochaine étape&amp;nbsp;: rappeler lors du démarrage investissements clients.&lt;/p&gt;</t>
  </si>
  <si>
    <t>BANQUE POPULAIRE AUVERGNE RHONE ALPES</t>
  </si>
  <si>
    <t>Florian Raoul</t>
  </si>
  <si>
    <t>&lt;p&gt;Nouvelle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jour.&lt;/p&gt;</t>
  </si>
  <si>
    <t>Offre Audacia éligible 150 0 B Ter</t>
  </si>
  <si>
    <t>KL Conseil Notaires</t>
  </si>
  <si>
    <t>Caroline Emerique</t>
  </si>
  <si>
    <t>&lt;p&gt;Présentation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t>
  </si>
  <si>
    <t>1619.vc</t>
  </si>
  <si>
    <t>&lt;p&gt;RDV physique 5 mars : prospect gère fonds 10M€, focus early stage, Inde/Moyen-Orient, 2 deals deeptech (ADEX, EXODIGO). Intérêt pour GEODESIC, souhaite voir start-up en levée dans la zone Inde. Prochaine étape : présenter dossiers pertinents, relance à prévoir, non prioritaire.&lt;/p&gt;</t>
  </si>
  <si>
    <t>GEODESIC &lt;&gt; à regarder + presenter les start up en levées et présente dans la zone dont Inde, relancer (non prioritaire)</t>
  </si>
  <si>
    <t>Belles Rives CGP</t>
  </si>
  <si>
    <t>Franck Girard</t>
  </si>
  <si>
    <t>&lt;p&gt;Piste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t>
  </si>
  <si>
    <t>FAMILY PARTNERS</t>
  </si>
  <si>
    <t>Stéphane Rogron</t>
  </si>
  <si>
    <t>&lt;p&gt;Appel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t>
  </si>
  <si>
    <t>Boursorama Gestion Privée</t>
  </si>
  <si>
    <t>Jean Bay</t>
  </si>
  <si>
    <t>&lt;p&gt;05/02/2026: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t>
  </si>
  <si>
    <t>Société de gestion</t>
  </si>
  <si>
    <t>LMCAPITAL</t>
  </si>
  <si>
    <t>Guillaume LAKAH</t>
  </si>
  <si>
    <t>&lt;p&gt;RDV physique 20/02 : LMCapital, ambiance familiale, relation client non confiée à Paul-Louis, expansion freinée par familles, focus clients externes, Lausanne/Genève. PL Vautrot quitte LMCapital, à relancer après son mariage/nouveau job fin mai. Prochain RDV prévu 17/04.&lt;/p&gt;</t>
  </si>
  <si>
    <t>rdv le 17 avril avec Guillaume Lakha, rdv fait &lt;&gt; avec PL Vautrot à relancer</t>
  </si>
  <si>
    <t>Cabinet d'avocats</t>
  </si>
  <si>
    <t>ARKWOOD</t>
  </si>
  <si>
    <t>Xavier GUERIN</t>
  </si>
  <si>
    <t>&lt;p&gt;25/02/2026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t>
  </si>
  <si>
    <t>prise de news</t>
  </si>
  <si>
    <t>Corporate</t>
  </si>
  <si>
    <t>RED BULL venture</t>
  </si>
  <si>
    <t>Sabrina Jones</t>
  </si>
  <si>
    <t>&lt;p&gt;Nouvelle piste créée pour équipe Ventes par Romain Andrieu. Relance effectuée récemment, pas d'autres actions ou retours notés. Aucun échange détaillé, pas de retour prospect sur fonds présentés, prochaines étapes non précisées, suivi à poursuivre.&lt;/p&gt;</t>
  </si>
  <si>
    <t>28 février 2025 /</t>
  </si>
  <si>
    <t>HAUSSMANN PATRIMOINE</t>
  </si>
  <si>
    <t>Emmanuel Narrat</t>
  </si>
  <si>
    <t>&lt;p&gt;Aucune activité menée sur le prospect. Nouvelle piste créée pour l'équipe Ventes par Edouard Gaurier. Aucun échange, action ou retour prospect enregistré à ce jour. Pas de prochaines étapes identifiées ni de suivi en cours.&lt;/p&gt;</t>
  </si>
  <si>
    <t>Galise MFO</t>
  </si>
  <si>
    <t>Agnès Brulé</t>
  </si>
  <si>
    <t>&lt;p&gt;Aucune activité ou échange significatif enregistré sur cette opportunité. Seule information disponible : une nouvelle piste a été créée pour l'équipe "Ventes". Aucun suivi, action ou retour prospect n'apparaît dans l'historique. Pas de prochaines étapes identifiées à ce jour.&lt;/p&gt;</t>
  </si>
  <si>
    <t>Safra</t>
  </si>
  <si>
    <t>Hugo Belliard</t>
  </si>
  <si>
    <t>&lt;p&gt;03/02/2026: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t>
  </si>
  <si>
    <t>Xavier de la Chapelle</t>
  </si>
  <si>
    <t>&lt;p&gt;Contact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RDV.&lt;/p&gt;</t>
  </si>
  <si>
    <t>Jean Jacques Augagnieur</t>
  </si>
  <si>
    <t>&lt;p&gt;RDV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suivi.&lt;/p&gt;</t>
  </si>
  <si>
    <t>UBS</t>
  </si>
  <si>
    <t>Johann RIVALAND</t>
  </si>
  <si>
    <t>&lt;p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récentes.&lt;/p&gt;</t>
  </si>
  <si>
    <t>Norman K. Luxembourg SA</t>
  </si>
  <si>
    <t>Nicolas Meyer</t>
  </si>
  <si>
    <t>&lt;p&gt;25/02/2026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prévoir.&lt;/p&gt;</t>
  </si>
  <si>
    <t>Rencontre</t>
  </si>
  <si>
    <t>CHEVAL BLANC PATRIMOINE</t>
  </si>
  <si>
    <t>Nam Delpierre</t>
  </si>
  <si>
    <t>&lt;p&gt;25/02/26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t>
  </si>
  <si>
    <t>Maud Huret Norman K</t>
  </si>
  <si>
    <t>Maud Huret</t>
  </si>
  <si>
    <t>&lt;p&gt;Nouvelle piste créée pour équipe Ventes. Client évoque remploi possible Straton et géodésie, montant 450K. Pas d'autres échanges, activités ou retours prospect sur fonds présentés. Prochaines étapes non précisées, aucune activité planifiée à ce jour.&lt;/p&gt;</t>
  </si>
  <si>
    <t>NATIXIS WEALTH MANAGEMENT</t>
  </si>
  <si>
    <t>Jean-Michel Sabatini</t>
  </si>
  <si>
    <t>&lt;p&gt;10/04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FPCI/SLP.&lt;/p&gt;</t>
  </si>
  <si>
    <t>Sur le premier test client / Pourrions-nous nous parler avant d’arrêter une date de rendez-vous avec votre client ?  Afin d’éviter un échange déceptif pour monsieur Lagarnaudie, je souhaiterai m’assurer que nous pourrons bien envisager à terme une collecte de 3M€ minimum afin de répondre à notre seuil d’entrée en relation.</t>
  </si>
  <si>
    <t>COME, LE FAMILY OFFICE</t>
  </si>
  <si>
    <t>Julien Codina</t>
  </si>
  <si>
    <t>&lt;p&gt;Appel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t>
  </si>
  <si>
    <t>My Way MFO</t>
  </si>
  <si>
    <t>Olivier Bontoux</t>
  </si>
  <si>
    <t>&lt;p&gt;Relance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t>
  </si>
  <si>
    <t>Bred Banque Privée</t>
  </si>
  <si>
    <t>Caroline Thiebaud</t>
  </si>
  <si>
    <t>&lt;p&gt;Nouvelle piste créée pour équipe Ventes. Tentative d'enrichissement échouée (email non valide). Discussion reprise sur fonds Audacia, pas de retour prospect ni action complémentaire mentionnée. Aucune activité ou prochaine étape planifiée identifiée à ce jour.&lt;/p&gt;</t>
  </si>
  <si>
    <t>&lt;p&gt;Prospect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stade.&lt;/p&gt;</t>
  </si>
  <si>
    <t>Souhaite se positionner / 1Me / sans doute Juin 2026</t>
  </si>
  <si>
    <t>Troismer</t>
  </si>
  <si>
    <t>Thibaut BUSSCHAERT</t>
  </si>
  <si>
    <t>&lt;p&gt;12/12/25 RDV FO: 70 lignes fonds, 15 Europe, secondaire actif, 16M€, 100% déployé, horizon 3-5 ans, LP lead prudent, GP lead single asset, discussions sur nouveau fonds 1,5M€, Rdv janvier prévu. Prochaine étape : prendre rdv pour update secondary. Pas d'autres actus récentes.&lt;/p&gt;</t>
  </si>
  <si>
    <t>Prendre rdv pour une revue secondary à jour</t>
  </si>
  <si>
    <t>Emmanuel de Rohan Chabot</t>
  </si>
  <si>
    <t>&lt;p&gt;Relance faite auprès de r.weiss@titrisation.com le 20/03/2026, feedback reçu suite à un RDV physique. Nouveau RDV en cours de calage, échanges réguliers depuis février. Pas de retour prospect sur fonds présenté à ce stade. Prochaine étape : fixer nouveau RDV, suivi en cours.&lt;/p&gt;</t>
  </si>
  <si>
    <t>PROGRESSYS CAPITAL</t>
  </si>
  <si>
    <t>Stephane Matton</t>
  </si>
  <si>
    <t>&lt;p&gt;Nouvelle piste créée pour équipe Ventes. Aucun échange, activité ou action de suivi enregistrée à ce jour sur ce prospect. Pas d'informations complémentaires, pas de retour ni de prochaine étape identifiée. Suivi à initier.&lt;/p&gt;</t>
  </si>
  <si>
    <t>Arnaud DASSIER</t>
  </si>
  <si>
    <t>&lt;p&gt;Proposition de rencontre suite exit société, RDV physique réalisé pour fonds, échanges sur opportunité, appel passé : pas d'intérêt pour Audacia. Aucun retour prospect sur fonds présentés. Pas d'activité récente ni prochaine étape identifiée. Derniers échanges fin 2025.&lt;/p&gt;</t>
  </si>
  <si>
    <t>Mort / Plus rien à faire</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</si>
</sst>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3">
    <font>
      <sz val="10"/>
      <color rgb="000000"/>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1">
    <xf numFmtId="0" fillId="0" fontId="0" borderId="0"/>
    <xf numFmtId="0" fillId="2" fontId="0" borderId="0" applyAlignment="1">
      <alignment vertical="center" horizontal="center" wrapText="1"/>
    </xf>
    <xf numFmtId="0" fillId="2" fontId="0" borderId="0" applyAlignment="1">
      <alignment vertical="center" horizontal="center"/>
    </xf>
    <xf numFmtId="0" fillId="2" fontId="1" borderId="0" applyAlignment="1">
      <alignment vertical="center" wrapText="1"/>
    </xf>
    <xf numFmtId="0" fillId="0" fontId="0" borderId="0" applyAlignment="1">
      <alignment wrapText="1"/>
    </xf>
    <xf numFmtId="0" fillId="0" fontId="0" borderId="0" applyAlignment="1">
      <alignment vertical="center" horizontal="center" wrapText="1"/>
    </xf>
    <xf numFmtId="0" fillId="0" fontId="0" borderId="0" applyAlignment="1">
      <alignment vertical="center" horizontal="center"/>
    </xf>
    <xf numFmtId="0" fillId="3" fontId="2" borderId="0" applyAlignment="1">
      <alignment vertical="center" horizontal="center" wrapText="1"/>
    </xf>
    <xf numFmtId="0" fillId="4" fontId="0" borderId="0" applyAlignment="1">
      <alignment vertical="center" horizontal="center" wrapText="1"/>
    </xf>
    <xf numFmtId="0" fillId="0" fontId="2" borderId="0" applyAlignment="1">
      <alignment vertical="center" horizontal="center" wrapText="1"/>
    </xf>
    <xf numFmtId="49" fillId="0" fontId="2" borderId="0" applyAlignment="1">
      <alignment vertical="center" horizontal="center" wrapText="1"/>
    </xf>
    <xf numFmtId="0" fillId="0" fontId="2" borderId="0" applyAlignment="1">
      <alignment vertical="center" wrapText="1"/>
    </xf>
    <xf numFmtId="0" fillId="0" fontId="2" borderId="0"/>
    <xf numFmtId="164" fillId="0" fontId="2" borderId="0" applyAlignment="1">
      <alignment vertical="center" horizontal="center" wrapText="1"/>
    </xf>
    <xf numFmtId="165" fillId="0" fontId="2" borderId="0" applyAlignment="1">
      <alignment vertical="center" horizontal="center" wrapText="1"/>
    </xf>
    <xf numFmtId="4" fillId="0" fontId="2" borderId="0" applyAlignment="1">
      <alignment vertical="center" horizontal="center" wrapText="1"/>
    </xf>
    <xf numFmtId="0" fillId="0" fontId="2" borderId="0" applyAlignment="1">
      <alignment wrapText="1"/>
    </xf>
    <xf numFmtId="49" fillId="0" fontId="2" borderId="0"/>
    <xf numFmtId="164" fillId="0" fontId="2" borderId="0"/>
    <xf numFmtId="165" fillId="0" fontId="2" borderId="0"/>
    <xf numFmtId="4" fillId="0" fontId="2"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9.46" customWidth="1" hidden="0"/>
    <col min="2" max="2" width="21.16" customWidth="1" hidden="0"/>
    <col min="3" max="3" width="29.03" customWidth="1" hidden="0"/>
    <col min="4" max="4" width="22.59" customWidth="1" hidden="0"/>
    <col min="5" max="5" width="15.73" customWidth="1" hidden="0"/>
    <col min="6" max="6" width="49.91" customWidth="1" hidden="1"/>
    <col min="7" max="7" width="49.91" customWidth="1" hidden="1"/>
    <col min="8" max="8" width="49.91" customWidth="1" hidden="1"/>
    <col min="9" max="9" width="54.05" customWidth="1" hidden="0"/>
    <col min="10" max="10" width="66.21" customWidth="1" hidden="1"/>
    <col min="11" max="11" width="23.6" customWidth="1" hidden="1"/>
    <col min="12" max="12" width="11.44" customWidth="1" hidden="0"/>
    <col min="13" max="13" width="21.59" customWidth="1" hidden="1"/>
    <col min="14" max="14" width="13.73" customWidth="1" hidden="0"/>
    <col min="15" max="15" width="25.31" customWidth="1" hidden="1"/>
    <col min="16" max="16" width="19.45" customWidth="1" hidden="0"/>
    <col min="17" max="17" width="15.16" customWidth="1" hidden="1"/>
    <col min="18" max="18" width="13.59" customWidth="1" hidden="0"/>
    <col min="19" max="19" width="30.03" customWidth="1" hidden="1"/>
    <col min="20" max="20" width="17.02" customWidth="1" hidden="0"/>
    <col min="21" max="21" width="16.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0" customHeight="1">
      <c r="A1" s="1">
</c>
      <c r="B1" s="2">
</c>
      <c r="C1" s="2">
</c>
      <c r="D1" s="1">
</c>
      <c r="E1" s="2">
</c>
      <c r="F1" s="2">
</c>
      <c r="G1" s="1">
</c>
      <c r="H1" s="2">
</c>
      <c r="I1" s="3" t="s">
        <v>0</v>
      </c>
      <c r="J1" s="2">
</c>
      <c r="K1" s="2">
</c>
      <c r="L1" s="2">
</c>
      <c r="M1" s="2">
</c>
      <c r="N1" s="3">
</c>
      <c r="O1" s="2">
</c>
      <c r="P1" s="1">
</c>
      <c r="Q1" s="2">
</c>
      <c r="R1" s="2">
</c>
      <c r="S1" s="2">
</c>
      <c r="T1" s="2">
</c>
      <c r="U1" s="1">
</c>
    </row>
    <row r="2" ht="30" customHeight="1">
      <c r="A2" s="4">
</c>
      <c r="B2" s="5">
</c>
      <c r="C2" s="6" cm="1" t="n">
        <f t="array" ref="C2">SUBTOTAL(9,V4:V202)</f>
        <v>67</v>
      </c>
      <c r="Q2" s="7" cm="1" t="n">
        <f t="array" ref="Q2">SUBTOTAL(9,Q4:Q302)</f>
        <v>11050000</v>
      </c>
      <c r="R2" s="7" cm="1" t="str">
        <f t="array" ref="R2">ROUND(Q2/1000000,3)&amp;" M€"</f>
        <v>11.05 M€</v>
      </c>
    </row>
    <row r="3" ht="38.25" customHeight="1">
      <c r="A3" s="1" t="s">
        <v>1</v>
      </c>
      <c r="B3" s="1" t="s">
        <v>2</v>
      </c>
      <c r="C3" s="1" t="s">
        <v>3</v>
      </c>
      <c r="D3" s="1" t="s">
        <v>4</v>
      </c>
      <c r="E3" s="1" t="s">
        <v>5</v>
      </c>
      <c r="F3" s="1" t="s">
        <v>6</v>
      </c>
      <c r="G3" s="1" t="s">
        <v>7</v>
      </c>
      <c r="H3" s="1" t="s">
        <v>8</v>
      </c>
      <c r="I3" s="1" t="s">
        <v>9</v>
      </c>
      <c r="J3" s="1" t="s">
        <v>10</v>
      </c>
      <c r="K3" s="1" t="s">
        <v>11</v>
      </c>
      <c r="L3" s="1" t="s">
        <v>12</v>
      </c>
      <c r="M3" s="8" t="s">
        <v>13</v>
      </c>
      <c r="N3" s="1" t="s">
        <v>14</v>
      </c>
      <c r="O3" s="1" t="s">
        <v>15</v>
      </c>
      <c r="P3" s="1" t="s">
        <v>16</v>
      </c>
      <c r="Q3" s="1" t="s">
        <v>17</v>
      </c>
      <c r="R3" s="1" t="s">
        <v>18</v>
      </c>
      <c r="S3" s="1" t="s">
        <v>19</v>
      </c>
      <c r="T3" s="1" t="s">
        <v>20</v>
      </c>
      <c r="U3" s="1" t="s">
        <v>21</v>
      </c>
      <c r="V3" t="s">
        <v>22</v>
      </c>
    </row>
    <row r="4" ht="78.75" customHeight="1">
      <c r="A4" s="9" t="s">
        <v>23</v>
      </c>
      <c r="B4" s="9" t="s">
        <v>24</v>
      </c>
      <c r="C4" s="10" t="s">
        <v>25</v>
      </c>
      <c r="D4" s="10" t="s">
        <v>25</v>
      </c>
      <c r="E4" s="9" t="s">
        <v>26</v>
      </c>
      <c r="F4" s="11" t="s">
        <v>27</v>
      </c>
      <c r="G4" s="11" cm="1" t="str">
        <f t="array" ref="G4">IF(F4="","",SUBSTITUTE(SUBSTITUTE(SUBSTITUTE(SUBSTITUTE(F4,"&lt;li&gt;",CHAR(10)),"&lt;/li&gt;",""),"&lt;br&gt;",CHAR(10)),"&lt;strong&gt;",""))</f>
        <v>&lt;p&gt;Echange mail 13/04 sur Constellation 3, prospect surpris par les nouvelles du portefeuille, analyse le reporting avant nouvel échange. Pas d'autres actions récentes ni retours téléphoniques. Prochaine étape : attendre retour prospect après étude du reporting.&lt;/p&gt;</v>
      </c>
      <c r="H4" s="11" cm="1" t="str">
        <f t="array" ref="H4">IF(G4="","",SUBSTITUTE(SUBSTITUTE(SUBSTITUTE(SUBSTITUTE(SUBSTITUTE(G4,"&lt;p&gt;",""),"&lt;/p&gt;",""),"&lt;ul&gt;",""),"&lt;/ul&gt;",""),"&lt;/strong&gt;",""))</f>
        <v>Echange mail 13/04 sur Constellation 3, prospect surpris par les nouvelles du portefeuille, analyse le reporting avant nouvel échange. Pas d'autres actions récentes ni retours téléphoniques. Prochaine étape : attendre retour prospect après étude du reporting.</v>
      </c>
      <c r="I4" s="11" cm="1" t="str">
        <f t="array" ref="I4">IF(C4="","",IF(OR(H4="",H4=0,H4=FALSE),"-",H4))</f>
        <v>Echange mail 13/04 sur Constellation 3, prospect surpris par les nouvelles du portefeuille, analyse le reporting avant nouvel échange. Pas d'autres actions récentes ni retours téléphoniques. Prochaine étape : attendre retour prospect après étude du reporting.</v>
      </c>
      <c r="J4" s="12">
</c>
      <c r="K4" s="9" t="s">
        <v>28</v>
      </c>
      <c r="L4" s="9" cm="1" t="str">
        <f t="array" ref="L4">IF(C4="","",IF(K4="Mort / Plus rien à faire","KO","OK"))</f>
        <v>OK</v>
      </c>
      <c r="M4" s="13">
        <v>46125.59680555556</v>
      </c>
      <c r="N4" s="13" cm="1" t="n">
        <f t="array" ref="N4">IF(OR(C4="",M4="",M4=0),"",M4)</f>
        <v>46125.59680555556</v>
      </c>
      <c r="O4" s="13">
</c>
      <c r="P4" s="13" cm="1" t="str">
        <f t="array" ref="P4">IF(C4="","",IF(OR(O4="",O4=0),"-",O4))</f>
        <v>-</v>
      </c>
      <c r="Q4" s="14">
        <v>100000</v>
      </c>
      <c r="R4" s="9" cm="1" t="str">
        <f t="array" ref="R4">IF(C4="","",ROUND(Q4/1000000,3)&amp;" M€")</f>
        <v>0.1 M€</v>
      </c>
      <c r="S4" s="15">
        <v>100</v>
      </c>
      <c r="T4" s="9" cm="1" t="str">
        <f t="array" ref="T4">IF(C4="","",SUBSTITUTE(S4,"","")&amp;"%")</f>
        <v>100%</v>
      </c>
      <c r="U4" s="11" cm="1" t="str">
        <f t="array" ref="U4">IF(($N4="")*($P4=""),"",IF(($N4&lt;&gt;"")*($N4&gt;TODAY()-9)*($N4&lt;TODAY()+1)*($P4&lt;&gt;"")*($P4&gt;=TODAY())*($P4&lt;=TODAY()+13),"Semaine passée &amp; à venir",IF(($N4&lt;&gt;"")*($N4&gt;TODAY()-9)*($N4&lt;TODAY()+1),"Semaine passée",IF(($P4&lt;&gt;"")*($P4&gt;=TODAY())*($P4&lt;=TODAY()+13),"À venir","Autre"))))</f>
        <v>Autre</v>
      </c>
      <c r="V4" cm="1" t="n">
        <f t="array" ref="V4">IF(C4&lt;&gt;"",1,0)</f>
        <v>1</v>
      </c>
    </row>
    <row r="5" ht="78.75" customHeight="1">
      <c r="A5" s="9" t="s">
        <v>23</v>
      </c>
      <c r="B5" s="9" t="s">
        <v>24</v>
      </c>
      <c r="C5" s="10" t="s">
        <v>29</v>
      </c>
      <c r="D5" s="10" t="s">
        <v>29</v>
      </c>
      <c r="E5" s="9" t="s">
        <v>26</v>
      </c>
      <c r="F5" s="12" t="s">
        <v>30</v>
      </c>
      <c r="G5" s="11" cm="1" t="str">
        <f t="array" ref="G5">IF(F5="","",SUBSTITUTE(SUBSTITUTE(SUBSTITUTE(SUBSTITUTE(F5,"&lt;li&gt;",CHAR(10)),"&lt;/li&gt;",""),"&lt;br&gt;",CHAR(10)),"&lt;strong&gt;",""))</f>
        <v>&lt;p&gt;Contact CB établi. 28/02/2026 : nouveau 100K engagé dans Géodesic, attente signature BS et virement avant 09/03/2026, date de fin AK privés Géodesic. Suivi en attente, aucune activité complémentaire ni retour prospect sur fonds présentés. Lead créé pour équipe Ventes.&lt;/p&gt;</v>
      </c>
      <c r="H5" s="11" cm="1" t="str">
        <f t="array" ref="H5">IF(G5="","",SUBSTITUTE(SUBSTITUTE(SUBSTITUTE(SUBSTITUTE(SUBSTITUTE(G5,"&lt;p&gt;",""),"&lt;/p&gt;",""),"&lt;ul&gt;",""),"&lt;/ul&gt;",""),"&lt;/strong&gt;",""))</f>
        <v>Contact CB établi. 28/02/2026 : nouveau 100K engagé dans Géodesic, attente signature BS et virement avant 09/03/2026, date de fin AK privés Géodesic. Suivi en attente, aucune activité complémentaire ni retour prospect sur fonds présentés. Lead créé pour équipe Ventes.</v>
      </c>
      <c r="I5" s="11" cm="1" t="str">
        <f t="array" ref="I5">IF(C5="","",IF(OR(H5="",H5=0,H5=FALSE),"-",H5))</f>
        <v>Contact CB établi. 28/02/2026 : nouveau 100K engagé dans Géodesic, attente signature BS et virement avant 09/03/2026, date de fin AK privés Géodesic. Suivi en attente, aucune activité complémentaire ni retour prospect sur fonds présentés. Lead créé pour équipe Ventes.</v>
      </c>
      <c r="J5" s="12">
</c>
      <c r="K5" s="9" t="s">
        <v>28</v>
      </c>
      <c r="L5" s="9" cm="1" t="str">
        <f t="array" ref="L5">IF(C5="","",IF(K5="Mort / Plus rien à faire","KO","OK"))</f>
        <v>OK</v>
      </c>
      <c r="M5" s="13">
        <v>46091.674675925926</v>
      </c>
      <c r="N5" s="13" cm="1" t="n">
        <f t="array" ref="N5">IF(OR(C5="",M5="",M5=0),"",M5)</f>
        <v>46091.674675925926</v>
      </c>
      <c r="O5" s="13">
</c>
      <c r="P5" s="13" cm="1" t="str">
        <f t="array" ref="P5">IF(C5="","",IF(OR(O5="",O5=0),"-",O5))</f>
        <v>-</v>
      </c>
      <c r="Q5" s="14">
        <v>100000</v>
      </c>
      <c r="R5" s="9" cm="1" t="str">
        <f t="array" ref="R5">IF(C5="","",ROUND(Q5/1000000,3)&amp;" M€")</f>
        <v>0.1 M€</v>
      </c>
      <c r="S5" s="15">
        <v>100</v>
      </c>
      <c r="T5" s="9" cm="1" t="str">
        <f t="array" ref="T5">IF(C5="","",SUBSTITUTE(S5,"","")&amp;"%")</f>
        <v>100%</v>
      </c>
      <c r="U5" s="11" cm="1" t="str">
        <f t="array" ref="U5">IF(($N5="")*($P5=""),"",IF(($N5&lt;&gt;"")*($N5&gt;TODAY()-9)*($N5&lt;TODAY()+1)*($P5&lt;&gt;"")*($P5&gt;=TODAY())*($P5&lt;=TODAY()+13),"Semaine passée &amp; à venir",IF(($N5&lt;&gt;"")*($N5&gt;TODAY()-9)*($N5&lt;TODAY()+1),"Semaine passée",IF(($P5&lt;&gt;"")*($P5&gt;=TODAY())*($P5&lt;=TODAY()+13),"À venir","Autre"))))</f>
        <v>Autre</v>
      </c>
      <c r="V5" cm="1" t="n">
        <f t="array" ref="V5">IF(C5&lt;&gt;"",1,0)</f>
        <v>1</v>
      </c>
      <c r="X5" s="11">
</c>
    </row>
    <row r="6" ht="78.75" customHeight="1">
      <c r="A6" s="9" t="s">
        <v>23</v>
      </c>
      <c r="B6" s="9" t="s">
        <v>31</v>
      </c>
      <c r="C6" s="10" t="s">
        <v>32</v>
      </c>
      <c r="D6" s="10" t="s">
        <v>33</v>
      </c>
      <c r="E6" s="9" t="s">
        <v>26</v>
      </c>
      <c r="F6" s="12" t="s">
        <v>34</v>
      </c>
      <c r="G6" s="11" cm="1" t="str">
        <f t="array" ref="G6">IF(F6="","",SUBSTITUTE(SUBSTITUTE(SUBSTITUTE(SUBSTITUTE(F6,"&lt;li&gt;",CHAR(10)),"&lt;/li&gt;",""),"&lt;br&gt;",CHAR(10)),"&lt;strong&gt;",""))</f>
        <v>&lt;p&gt;03/02/2026: Long échange explicatif, confiance renouvelée, décision de maintenir le ticket dans Géodesic. 28/01/2026: Proposition de call 30 min sur remploi pour deux fonds. Lead créé pour équipe Ventes. Pas d'autres activités ni prochaines actions planifiées à ce jour.&lt;/p&gt;</v>
      </c>
      <c r="H6" s="11" cm="1" t="str">
        <f t="array" ref="H6">IF(G6="","",SUBSTITUTE(SUBSTITUTE(SUBSTITUTE(SUBSTITUTE(SUBSTITUTE(G6,"&lt;p&gt;",""),"&lt;/p&gt;",""),"&lt;ul&gt;",""),"&lt;/ul&gt;",""),"&lt;/strong&gt;",""))</f>
        <v>03/02/2026: Long échange explicatif, confiance renouvelée, décision de maintenir le ticket dans Géodesic. 28/01/2026: Proposition de call 30 min sur remploi pour deux fonds. Lead créé pour équipe Ventes. Pas d'autres activités ni prochaines actions planifiées à ce jour.</v>
      </c>
      <c r="I6" s="11" cm="1" t="str">
        <f t="array" ref="I6">IF(C6="","",IF(OR(H6="",H6=0,H6=FALSE),"-",H6))</f>
        <v>03/02/2026: Long échange explicatif, confiance renouvelée, décision de maintenir le ticket dans Géodesic. 28/01/2026: Proposition de call 30 min sur remploi pour deux fonds. Lead créé pour équipe Ventes. Pas d'autres activités ni prochaines actions planifiées à ce jour.</v>
      </c>
      <c r="J6" s="12">
</c>
      <c r="K6" s="9" t="s">
        <v>28</v>
      </c>
      <c r="L6" s="9" cm="1" t="str">
        <f t="array" ref="L6">IF(C6="","",IF(K6="Mort / Plus rien à faire","KO","OK"))</f>
        <v>OK</v>
      </c>
      <c r="M6" s="13">
        <v>46083.72099537037</v>
      </c>
      <c r="N6" s="13" cm="1" t="n">
        <f t="array" ref="N6">IF(OR(C6="",M6="",M6=0),"",M6)</f>
        <v>46083.72099537037</v>
      </c>
      <c r="O6" s="13">
</c>
      <c r="P6" s="13" cm="1" t="str">
        <f t="array" ref="P6">IF(C6="","",IF(OR(O6="",O6=0),"-",O6))</f>
        <v>-</v>
      </c>
      <c r="Q6" s="14">
        <v>100000</v>
      </c>
      <c r="R6" s="9" cm="1" t="str">
        <f t="array" ref="R6">IF(C6="","",ROUND(Q6/1000000,3)&amp;" M€")</f>
        <v>0.1 M€</v>
      </c>
      <c r="S6" s="15">
        <v>100</v>
      </c>
      <c r="T6" s="9" cm="1" t="str">
        <f t="array" ref="T6">IF(C6="","",SUBSTITUTE(S6,"","")&amp;"%")</f>
        <v>100%</v>
      </c>
      <c r="U6" s="11" cm="1" t="str">
        <f t="array" ref="U6">IF(($N6="")*($P6=""),"",IF(($N6&lt;&gt;"")*($N6&gt;TODAY()-9)*($N6&lt;TODAY()+1)*($P6&lt;&gt;"")*($P6&gt;=TODAY())*($P6&lt;=TODAY()+13),"Semaine passée &amp; à venir",IF(($N6&lt;&gt;"")*($N6&gt;TODAY()-9)*($N6&lt;TODAY()+1),"Semaine passée",IF(($P6&lt;&gt;"")*($P6&gt;=TODAY())*($P6&lt;=TODAY()+13),"À venir","Autre"))))</f>
        <v>Autre</v>
      </c>
      <c r="V6" cm="1" t="n">
        <f t="array" ref="V6">IF(C6&lt;&gt;"",1,0)</f>
        <v>1</v>
      </c>
    </row>
    <row r="7" ht="78.75" customHeight="1">
      <c r="A7" s="9" t="s">
        <v>23</v>
      </c>
      <c r="B7" s="9" t="s">
        <v>24</v>
      </c>
      <c r="C7" s="10" t="s">
        <v>35</v>
      </c>
      <c r="D7" s="10" t="s">
        <v>35</v>
      </c>
      <c r="E7" s="9" t="s">
        <v>26</v>
      </c>
      <c r="F7" s="12" t="s">
        <v>36</v>
      </c>
      <c r="G7" s="11" cm="1" t="str">
        <f t="array" ref="G7">IF(F7="","",SUBSTITUTE(SUBSTITUTE(SUBSTITUTE(SUBSTITUTE(F7,"&lt;li&gt;",CHAR(10)),"&lt;/li&gt;",""),"&lt;br&gt;",CHAR(10)),"&lt;strong&gt;",""))</f>
        <v>&lt;p&gt;Piste créée pour équipe Ventes, tentative d'enrichissement échouée (email invalide), aucune activité ou échange significatif enregistré depuis. Opportunité finalisée en octobre 2025, pas d'action ou de suivi récent, aucune prochaine étape identifiée à ce jour.&lt;/p&gt;</v>
      </c>
      <c r="H7" s="11" cm="1" t="str">
        <f t="array" ref="H7">IF(G7="","",SUBSTITUTE(SUBSTITUTE(SUBSTITUTE(SUBSTITUTE(SUBSTITUTE(G7,"&lt;p&gt;",""),"&lt;/p&gt;",""),"&lt;ul&gt;",""),"&lt;/ul&gt;",""),"&lt;/strong&gt;",""))</f>
        <v>Piste créée pour équipe Ventes, tentative d'enrichissement échouée (email invalide), aucune activité ou échange significatif enregistré depuis. Opportunité finalisée en octobre 2025, pas d'action ou de suivi récent, aucune prochaine étape identifiée à ce jour.</v>
      </c>
      <c r="I7" s="11" cm="1" t="str">
        <f t="array" ref="I7">IF(C7="","",IF(OR(H7="",H7=0,H7=FALSE),"-",H7))</f>
        <v>Piste créée pour équipe Ventes, tentative d'enrichissement échouée (email invalide), aucune activité ou échange significatif enregistré depuis. Opportunité finalisée en octobre 2025, pas d'action ou de suivi récent, aucune prochaine étape identifiée à ce jour.</v>
      </c>
      <c r="J7" s="12">
</c>
      <c r="K7" s="9" t="s">
        <v>28</v>
      </c>
      <c r="L7" s="9" cm="1" t="str">
        <f t="array" ref="L7">IF(C7="","",IF(K7="Mort / Plus rien à faire","KO","OK"))</f>
        <v>OK</v>
      </c>
      <c r="M7" s="13">
        <v>46022.6159375</v>
      </c>
      <c r="N7" s="13" cm="1" t="n">
        <f t="array" ref="N7">IF(OR(C7="",M7="",M7=0),"",M7)</f>
        <v>46022.6159375</v>
      </c>
      <c r="O7" s="13">
</c>
      <c r="P7" s="13" cm="1" t="str">
        <f t="array" ref="P7">IF(C7="","",IF(OR(O7="",O7=0),"-",O7))</f>
        <v>-</v>
      </c>
      <c r="Q7" s="14">
        <v>300000</v>
      </c>
      <c r="R7" s="9" cm="1" t="str">
        <f t="array" ref="R7">IF(C7="","",ROUND(Q7/1000000,3)&amp;" M€")</f>
        <v>0.3 M€</v>
      </c>
      <c r="S7" s="15">
        <v>100</v>
      </c>
      <c r="T7" s="9" cm="1" t="str">
        <f t="array" ref="T7">IF(C7="","",SUBSTITUTE(S7,"","")&amp;"%")</f>
        <v>100%</v>
      </c>
      <c r="U7" s="11" cm="1" t="str">
        <f t="array" ref="U7">IF(($N7="")*($P7=""),"",IF(($N7&lt;&gt;"")*($N7&gt;TODAY()-9)*($N7&lt;TODAY()+1)*($P7&lt;&gt;"")*($P7&gt;=TODAY())*($P7&lt;=TODAY()+13),"Semaine passée &amp; à venir",IF(($N7&lt;&gt;"")*($N7&gt;TODAY()-9)*($N7&lt;TODAY()+1),"Semaine passée",IF(($P7&lt;&gt;"")*($P7&gt;=TODAY())*($P7&lt;=TODAY()+13),"À venir","Autre"))))</f>
        <v>Autre</v>
      </c>
      <c r="V7" cm="1" t="n">
        <f t="array" ref="V7">IF(C7&lt;&gt;"",1,0)</f>
        <v>1</v>
      </c>
    </row>
    <row r="8" ht="78.75" customHeight="1">
      <c r="A8" s="9" t="s">
        <v>23</v>
      </c>
      <c r="B8" s="9" t="s">
        <v>37</v>
      </c>
      <c r="C8" s="10" t="s">
        <v>38</v>
      </c>
      <c r="D8" s="10" t="s">
        <v>39</v>
      </c>
      <c r="E8" s="9" t="s">
        <v>26</v>
      </c>
      <c r="F8" s="12" t="s">
        <v>40</v>
      </c>
      <c r="G8" s="11" cm="1" t="str">
        <f t="array" ref="G8">IF(F8="","",SUBSTITUTE(SUBSTITUTE(SUBSTITUTE(SUBSTITUTE(F8,"&lt;li&gt;",CHAR(10)),"&lt;/li&gt;",""),"&lt;br&gt;",CHAR(10)),"&lt;strong&gt;",""))</f>
        <v>&lt;p&gt;Piste créée pour équipe Ventes, enrichissement impossible (email invalide), aucune activité ou échange prospect relevé, finalisée en février 2026. Aucune prochaine action prévue, pas de retour prospect ni de conclusion sur fonds présentés.&lt;/p&gt;</v>
      </c>
      <c r="H8" s="11" cm="1" t="str">
        <f t="array" ref="H8">IF(G8="","",SUBSTITUTE(SUBSTITUTE(SUBSTITUTE(SUBSTITUTE(SUBSTITUTE(G8,"&lt;p&gt;",""),"&lt;/p&gt;",""),"&lt;ul&gt;",""),"&lt;/ul&gt;",""),"&lt;/strong&gt;",""))</f>
        <v>Piste créée pour équipe Ventes, enrichissement impossible (email invalide), aucune activité ou échange prospect relevé, finalisée en février 2026. Aucune prochaine action prévue, pas de retour prospect ni de conclusion sur fonds présentés.</v>
      </c>
      <c r="I8" s="11" cm="1" t="str">
        <f t="array" ref="I8">IF(C8="","",IF(OR(H8="",H8=0,H8=FALSE),"-",H8))</f>
        <v>Piste créée pour équipe Ventes, enrichissement impossible (email invalide), aucune activité ou échange prospect relevé, finalisée en février 2026. Aucune prochaine action prévue, pas de retour prospect ni de conclusion sur fonds présentés.</v>
      </c>
      <c r="J8" s="12">
</c>
      <c r="K8" s="9" t="s">
        <v>28</v>
      </c>
      <c r="L8" s="9" cm="1" t="str">
        <f t="array" ref="L8">IF(C8="","",IF(K8="Mort / Plus rien à faire","KO","OK"))</f>
        <v>OK</v>
      </c>
      <c r="M8" s="13">
        <v>46056.6128125</v>
      </c>
      <c r="N8" s="13" cm="1" t="n">
        <f t="array" ref="N8">IF(OR(C8="",M8="",M8=0),"",M8)</f>
        <v>46056.6128125</v>
      </c>
      <c r="O8" s="13">
</c>
      <c r="P8" s="13" cm="1" t="str">
        <f t="array" ref="P8">IF(C8="","",IF(OR(O8="",O8=0),"-",O8))</f>
        <v>-</v>
      </c>
      <c r="Q8" s="14">
        <v>100000</v>
      </c>
      <c r="R8" s="9" cm="1" t="str">
        <f t="array" ref="R8">IF(C8="","",ROUND(Q8/1000000,3)&amp;" M€")</f>
        <v>0.1 M€</v>
      </c>
      <c r="S8" s="15">
        <v>100</v>
      </c>
      <c r="T8" s="9" cm="1" t="str">
        <f t="array" ref="T8">IF(C8="","",SUBSTITUTE(S8,"","")&amp;"%")</f>
        <v>100%</v>
      </c>
      <c r="U8" s="11" cm="1" t="str">
        <f t="array" ref="U8">IF(($N8="")*($P8=""),"",IF(($N8&lt;&gt;"")*($N8&gt;TODAY()-9)*($N8&lt;TODAY()+1)*($P8&lt;&gt;"")*($P8&gt;=TODAY())*($P8&lt;=TODAY()+13),"Semaine passée &amp; à venir",IF(($N8&lt;&gt;"")*($N8&gt;TODAY()-9)*($N8&lt;TODAY()+1),"Semaine passée",IF(($P8&lt;&gt;"")*($P8&gt;=TODAY())*($P8&lt;=TODAY()+13),"À venir","Autre"))))</f>
        <v>Autre</v>
      </c>
      <c r="V8" cm="1" t="n">
        <f t="array" ref="V8">IF(C8&lt;&gt;"",1,0)</f>
        <v>1</v>
      </c>
    </row>
    <row r="9" ht="78.75" customHeight="1">
      <c r="A9" s="9" t="s">
        <v>23</v>
      </c>
      <c r="B9" s="9" t="s">
        <v>37</v>
      </c>
      <c r="C9" s="10" t="s">
        <v>38</v>
      </c>
      <c r="D9" s="10" t="s">
        <v>39</v>
      </c>
      <c r="E9" s="9" t="s">
        <v>26</v>
      </c>
      <c r="F9" s="12" t="s">
        <v>41</v>
      </c>
      <c r="G9" s="11" cm="1" t="str">
        <f t="array" ref="G9">IF(F9="","",SUBSTITUTE(SUBSTITUTE(SUBSTITUTE(SUBSTITUTE(F9,"&lt;li&gt;",CHAR(10)),"&lt;/li&gt;",""),"&lt;br&gt;",CHAR(10)),"&lt;strong&gt;",""))</f>
        <v>&lt;p&gt;Nouvelle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v>
      </c>
      <c r="H9" s="11" cm="1" t="str">
        <f t="array" ref="H9">IF(G9="","",SUBSTITUTE(SUBSTITUTE(SUBSTITUTE(SUBSTITUTE(SUBSTITUTE(G9,"&lt;p&gt;",""),"&lt;/p&gt;",""),"&lt;ul&gt;",""),"&lt;/ul&gt;",""),"&lt;/strong&gt;",""))</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I9" s="11" cm="1" t="str">
        <f t="array" ref="I9">IF(C9="","",IF(OR(H9="",H9=0,H9=FALSE),"-",H9))</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J9" s="12">
</c>
      <c r="K9" s="9" t="s">
        <v>28</v>
      </c>
      <c r="L9" s="9" cm="1" t="str">
        <f t="array" ref="L9">IF(C9="","",IF(K9="Mort / Plus rien à faire","KO","OK"))</f>
        <v>OK</v>
      </c>
      <c r="M9" s="13">
        <v>46081.44582175926</v>
      </c>
      <c r="N9" s="13" cm="1" t="n">
        <f t="array" ref="N9">IF(OR(C9="",M9="",M9=0),"",M9)</f>
        <v>46081.44582175926</v>
      </c>
      <c r="O9" s="13">
</c>
      <c r="P9" s="13" cm="1" t="str">
        <f t="array" ref="P9">IF(C9="","",IF(OR(O9="",O9=0),"-",O9))</f>
        <v>-</v>
      </c>
      <c r="Q9" s="14">
        <v>100000</v>
      </c>
      <c r="R9" s="9" cm="1" t="str">
        <f t="array" ref="R9">IF(C9="","",ROUND(Q9/1000000,3)&amp;" M€")</f>
        <v>0.1 M€</v>
      </c>
      <c r="S9" s="15">
        <v>100</v>
      </c>
      <c r="T9" s="9" cm="1" t="str">
        <f t="array" ref="T9">IF(C9="","",SUBSTITUTE(S9,"","")&amp;"%")</f>
        <v>100%</v>
      </c>
      <c r="U9" s="11" cm="1" t="str">
        <f t="array" ref="U9">IF(($N9="")*($P9=""),"",IF(($N9&lt;&gt;"")*($N9&gt;TODAY()-9)*($N9&lt;TODAY()+1)*($P9&lt;&gt;"")*($P9&gt;=TODAY())*($P9&lt;=TODAY()+13),"Semaine passée &amp; à venir",IF(($N9&lt;&gt;"")*($N9&gt;TODAY()-9)*($N9&lt;TODAY()+1),"Semaine passée",IF(($P9&lt;&gt;"")*($P9&gt;=TODAY())*($P9&lt;=TODAY()+13),"À venir","Autre"))))</f>
        <v>Autre</v>
      </c>
      <c r="V9" cm="1" t="n">
        <f t="array" ref="V9">IF(C9&lt;&gt;"",1,0)</f>
        <v>1</v>
      </c>
    </row>
    <row r="10" ht="78.75" customHeight="1">
      <c r="A10" s="9" t="s">
        <v>23</v>
      </c>
      <c r="B10" s="9" t="s">
        <v>24</v>
      </c>
      <c r="C10" s="10" t="s">
        <v>42</v>
      </c>
      <c r="D10" s="10" t="s">
        <v>42</v>
      </c>
      <c r="E10" s="9" t="s">
        <v>26</v>
      </c>
      <c r="F10" s="12" t="s">
        <v>43</v>
      </c>
      <c r="G10" s="11" cm="1" t="str">
        <f t="array" ref="G10">IF(F10="","",SUBSTITUTE(SUBSTITUTE(SUBSTITUTE(SUBSTITUTE(F10,"&lt;li&gt;",CHAR(10)),"&lt;/li&gt;",""),"&lt;br&gt;",CHAR(10)),"&lt;strong&gt;",""))</f>
        <v>&lt;p&gt;Nouvelle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v>
      </c>
      <c r="H10" s="11" cm="1" t="str">
        <f t="array" ref="H10">IF(G10="","",SUBSTITUTE(SUBSTITUTE(SUBSTITUTE(SUBSTITUTE(SUBSTITUTE(G10,"&lt;p&gt;",""),"&lt;/p&gt;",""),"&lt;ul&gt;",""),"&lt;/ul&gt;",""),"&lt;/strong&gt;",""))</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I10" s="11" cm="1" t="str">
        <f t="array" ref="I10">IF(C10="","",IF(OR(H10="",H10=0,H10=FALSE),"-",H10))</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J10" s="12">
</c>
      <c r="K10" s="9" t="s">
        <v>28</v>
      </c>
      <c r="L10" s="9" cm="1" t="str">
        <f t="array" ref="L10">IF(C10="","",IF(K10="Mort / Plus rien à faire","KO","OK"))</f>
        <v>OK</v>
      </c>
      <c r="M10" s="13">
        <v>46022.470659722225</v>
      </c>
      <c r="N10" s="13" cm="1" t="n">
        <f t="array" ref="N10">IF(OR(C10="",M10="",M10=0),"",M10)</f>
        <v>46022.470659722225</v>
      </c>
      <c r="O10" s="13">
</c>
      <c r="P10" s="13" cm="1" t="str">
        <f t="array" ref="P10">IF(C10="","",IF(OR(O10="",O10=0),"-",O10))</f>
        <v>-</v>
      </c>
      <c r="Q10" s="14">
        <v>100000</v>
      </c>
      <c r="R10" s="9" cm="1" t="str">
        <f t="array" ref="R10">IF(C10="","",ROUND(Q10/1000000,3)&amp;" M€")</f>
        <v>0.1 M€</v>
      </c>
      <c r="S10" s="15">
        <v>100</v>
      </c>
      <c r="T10" s="9" cm="1" t="str">
        <f t="array" ref="T10">IF(C10="","",SUBSTITUTE(S10,"","")&amp;"%")</f>
        <v>100%</v>
      </c>
      <c r="U10" s="11" cm="1" t="str">
        <f t="array" ref="U10">IF(($N10="")*($P10=""),"",IF(($N10&lt;&gt;"")*($N10&gt;TODAY()-9)*($N10&lt;TODAY()+1)*($P10&lt;&gt;"")*($P10&gt;=TODAY())*($P10&lt;=TODAY()+13),"Semaine passée &amp; à venir",IF(($N10&lt;&gt;"")*($N10&gt;TODAY()-9)*($N10&lt;TODAY()+1),"Semaine passée",IF(($P10&lt;&gt;"")*($P10&gt;=TODAY())*($P10&lt;=TODAY()+13),"À venir","Autre"))))</f>
        <v>Autre</v>
      </c>
      <c r="V10" cm="1" t="n">
        <f t="array" ref="V10">IF(C10&lt;&gt;"",1,0)</f>
        <v>1</v>
      </c>
    </row>
    <row r="11" ht="78.75" customHeight="1">
      <c r="A11" s="9" t="s">
        <v>23</v>
      </c>
      <c r="B11" s="9" t="s">
        <v>24</v>
      </c>
      <c r="C11" s="10" t="s">
        <v>25</v>
      </c>
      <c r="D11" s="10" t="s">
        <v>25</v>
      </c>
      <c r="E11" s="9" t="s">
        <v>26</v>
      </c>
      <c r="F11" s="12" t="s">
        <v>44</v>
      </c>
      <c r="G11" s="11" cm="1" t="str">
        <f t="array" ref="G11">IF(F11="","",SUBSTITUTE(SUBSTITUTE(SUBSTITUTE(SUBSTITUTE(F11,"&lt;li&gt;",CHAR(10)),"&lt;/li&gt;",""),"&lt;br&gt;",CHAR(10)),"&lt;strong&gt;",""))</f>
        <v>&lt;p&gt;26/02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v>
      </c>
      <c r="H11" s="11" cm="1" t="str">
        <f t="array" ref="H11">IF(G11="","",SUBSTITUTE(SUBSTITUTE(SUBSTITUTE(SUBSTITUTE(SUBSTITUTE(G11,"&lt;p&gt;",""),"&lt;/p&gt;",""),"&lt;ul&gt;",""),"&lt;/ul&gt;",""),"&lt;/strong&gt;",""))</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I11" s="11" cm="1" t="str">
        <f t="array" ref="I11">IF(C11="","",IF(OR(H11="",H11=0,H11=FALSE),"-",H11))</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J11" s="12" t="s">
        <v>45</v>
      </c>
      <c r="K11" s="9" t="s">
        <v>46</v>
      </c>
      <c r="L11" s="9" cm="1" t="str">
        <f t="array" ref="L11">IF(C11="","",IF(K11="Mort / Plus rien à faire","KO","OK"))</f>
        <v>OK</v>
      </c>
      <c r="M11" s="13">
        <v>46087.70732638889</v>
      </c>
      <c r="N11" s="13" cm="1" t="n">
        <f t="array" ref="N11">IF(OR(C11="",M11="",M11=0),"",M11)</f>
        <v>46087.70732638889</v>
      </c>
      <c r="O11" s="13">
</c>
      <c r="P11" s="13" cm="1" t="str">
        <f t="array" ref="P11">IF(C11="","",IF(OR(O11="",O11=0),"-",O11))</f>
        <v>-</v>
      </c>
      <c r="Q11" s="14">
        <v>100000</v>
      </c>
      <c r="R11" s="9" cm="1" t="str">
        <f t="array" ref="R11">IF(C11="","",ROUND(Q11/1000000,3)&amp;" M€")</f>
        <v>0.1 M€</v>
      </c>
      <c r="S11" s="15">
        <v>50</v>
      </c>
      <c r="T11" s="9" cm="1" t="str">
        <f t="array" ref="T11">IF(C11="","",SUBSTITUTE(S11,"","")&amp;"%")</f>
        <v>50%</v>
      </c>
      <c r="U11" s="11" cm="1" t="str">
        <f t="array" ref="U11">IF(($N11="")*($P11=""),"",IF(($N11&lt;&gt;"")*($N11&gt;TODAY()-9)*($N11&lt;TODAY()+1)*($P11&lt;&gt;"")*($P11&gt;=TODAY())*($P11&lt;=TODAY()+13),"Semaine passée &amp; à venir",IF(($N11&lt;&gt;"")*($N11&gt;TODAY()-9)*($N11&lt;TODAY()+1),"Semaine passée",IF(($P11&lt;&gt;"")*($P11&gt;=TODAY())*($P11&lt;=TODAY()+13),"À venir","Autre"))))</f>
        <v>Autre</v>
      </c>
      <c r="V11" cm="1" t="n">
        <f t="array" ref="V11">IF(C11&lt;&gt;"",1,0)</f>
        <v>1</v>
      </c>
    </row>
    <row r="12" ht="78.75" customHeight="1">
      <c r="A12" s="9" t="s">
        <v>23</v>
      </c>
      <c r="B12" s="9" t="s">
        <v>47</v>
      </c>
      <c r="C12" s="10" t="s">
        <v>48</v>
      </c>
      <c r="D12" s="10" t="s">
        <v>49</v>
      </c>
      <c r="E12" s="9" t="s">
        <v>26</v>
      </c>
      <c r="F12" s="12" t="s">
        <v>50</v>
      </c>
      <c r="G12" s="11" cm="1" t="str">
        <f t="array" ref="G12">IF(F12="","",SUBSTITUTE(SUBSTITUTE(SUBSTITUTE(SUBSTITUTE(F12,"&lt;li&gt;",CHAR(10)),"&lt;/li&gt;",""),"&lt;br&gt;",CHAR(10)),"&lt;strong&gt;",""))</f>
        <v>&lt;p&gt;Déj. Bourrienne CB, OPNF, RSC SAS avec Famille Derville, Charles, Olivier. Intérêt 1-3M€. Straton et Spatial très intéressés. Call validé pour visites Aldoria/Alta Ares à Paris 4-6 mai. Prochaine étape : visite sur site 4/5/6 mai ALDORIA et ALTA ARES. Pas d'autres actions prévues à ce jour.&lt;/p&gt;</v>
      </c>
      <c r="H12" s="11" cm="1" t="str">
        <f t="array" ref="H12">IF(G12="","",SUBSTITUTE(SUBSTITUTE(SUBSTITUTE(SUBSTITUTE(SUBSTITUTE(G12,"&lt;p&gt;",""),"&lt;/p&gt;",""),"&lt;ul&gt;",""),"&lt;/ul&gt;",""),"&lt;/strong&gt;",""))</f>
        <v>Déj. Bourrienne CB, OPNF, RSC SAS avec Famille Derville, Charles, Olivier. Intérêt 1-3M€. Straton et Spatial très intéressés. Call validé pour visites Aldoria/Alta Ares à Paris 4-6 mai. Prochaine étape : visite sur site 4/5/6 mai ALDORIA et ALTA ARES. Pas d'autres actions prévues à ce jour.</v>
      </c>
      <c r="I12" s="11" cm="1" t="str">
        <f t="array" ref="I12">IF(C12="","",IF(OR(H12="",H12=0,H12=FALSE),"-",H12))</f>
        <v>Déj. Bourrienne CB, OPNF, RSC SAS avec Famille Derville, Charles, Olivier. Intérêt 1-3M€. Straton et Spatial très intéressés. Call validé pour visites Aldoria/Alta Ares à Paris 4-6 mai. Prochaine étape : visite sur site 4/5/6 mai ALDORIA et ALTA ARES. Pas d'autres actions prévues à ce jour.</v>
      </c>
      <c r="J12" s="12" t="s">
        <v>51</v>
      </c>
      <c r="K12" s="9" t="s">
        <v>52</v>
      </c>
      <c r="L12" s="9" cm="1" t="str">
        <f t="array" ref="L12">IF(C12="","",IF(K12="Mort / Plus rien à faire","KO","OK"))</f>
        <v>OK</v>
      </c>
      <c r="M12" s="13">
        <v>46139.72782407407</v>
      </c>
      <c r="N12" s="13" cm="1" t="n">
        <f t="array" ref="N12">IF(OR(C12="",M12="",M12=0),"",M12)</f>
        <v>46139.72782407407</v>
      </c>
      <c r="O12" s="13">
        <v>46148.083333333336</v>
      </c>
      <c r="P12" s="13" cm="1" t="n">
        <f t="array" ref="P12">IF(C12="","",IF(OR(O12="",O12=0),"-",O12))</f>
        <v>46148.083333333336</v>
      </c>
      <c r="Q12" s="14">
        <v>1000000</v>
      </c>
      <c r="R12" s="9" cm="1" t="str">
        <f t="array" ref="R12">IF(C12="","",ROUND(Q12/1000000,3)&amp;" M€")</f>
        <v>1 M€</v>
      </c>
      <c r="S12" s="15">
        <v>50</v>
      </c>
      <c r="T12" s="9" cm="1" t="str">
        <f t="array" ref="T12">IF(C12="","",SUBSTITUTE(S12,"","")&amp;"%")</f>
        <v>50%</v>
      </c>
      <c r="U12" s="11" cm="1" t="str">
        <f t="array" ref="U12">IF(($N12="")*($P12=""),"",IF(($N12&lt;&gt;"")*($N12&gt;TODAY()-9)*($N12&lt;TODAY()+1)*($P12&lt;&gt;"")*($P12&gt;=TODAY())*($P12&lt;=TODAY()+13),"Semaine passée &amp; à venir",IF(($N12&lt;&gt;"")*($N12&gt;TODAY()-9)*($N12&lt;TODAY()+1),"Semaine passée",IF(($P12&lt;&gt;"")*($P12&gt;=TODAY())*($P12&lt;=TODAY()+13),"À venir","Autre"))))</f>
        <v>Semaine passée &amp; à venir</v>
      </c>
      <c r="V12" cm="1" t="n">
        <f t="array" ref="V12">IF(C12&lt;&gt;"",1,0)</f>
        <v>1</v>
      </c>
    </row>
    <row r="13" ht="78.75" customHeight="1">
      <c r="A13" s="9" t="s">
        <v>23</v>
      </c>
      <c r="B13" s="9" t="s">
        <v>31</v>
      </c>
      <c r="C13" s="10" t="s">
        <v>53</v>
      </c>
      <c r="D13" s="10" t="s">
        <v>54</v>
      </c>
      <c r="E13" s="9" t="s">
        <v>26</v>
      </c>
      <c r="F13" s="12" t="s">
        <v>55</v>
      </c>
      <c r="G13" s="11" cm="1" t="str">
        <f t="array" ref="G13">IF(F13="","",SUBSTITUTE(SUBSTITUTE(SUBSTITUTE(SUBSTITUTE(F13,"&lt;li&gt;",CHAR(10)),"&lt;/li&gt;",""),"&lt;br&gt;",CHAR(10)),"&lt;strong&gt;",""))</f>
        <v>&lt;p&gt;Déj. Bourrienne CB, OPNF, TS avec Daylight FO (Dorian Lagarnaudie). Appels/échanges sur offres bancaires refinancement 1M Straton, 1M Géodésie. Attente offres écrites banques. Offre prêt BRED/CRCA Picardie attendue 28/04. Signature BS visée 15/06 si offre signée fin avril. Nouvelles dates à fixer.&lt;/p&gt;</v>
      </c>
      <c r="H13" s="11" cm="1" t="str">
        <f t="array" ref="H13">IF(G13="","",SUBSTITUTE(SUBSTITUTE(SUBSTITUTE(SUBSTITUTE(SUBSTITUTE(G13,"&lt;p&gt;",""),"&lt;/p&gt;",""),"&lt;ul&gt;",""),"&lt;/ul&gt;",""),"&lt;/strong&gt;",""))</f>
        <v>Déj. Bourrienne CB, OPNF, TS avec Daylight FO (Dorian Lagarnaudie). Appels/échanges sur offres bancaires refinancement 1M Straton, 1M Géodésie. Attente offres écrites banques. Offre prêt BRED/CRCA Picardie attendue 28/04. Signature BS visée 15/06 si offre signée fin avril. Nouvelles dates à fixer.</v>
      </c>
      <c r="I13" s="11" cm="1" t="str">
        <f t="array" ref="I13">IF(C13="","",IF(OR(H13="",H13=0,H13=FALSE),"-",H13))</f>
        <v>Déj. Bourrienne CB, OPNF, TS avec Daylight FO (Dorian Lagarnaudie). Appels/échanges sur offres bancaires refinancement 1M Straton, 1M Géodésie. Attente offres écrites banques. Offre prêt BRED/CRCA Picardie attendue 28/04. Signature BS visée 15/06 si offre signée fin avril. Nouvelles dates à fixer.</v>
      </c>
      <c r="J13" s="12">
</c>
      <c r="K13" s="9" t="s">
        <v>52</v>
      </c>
      <c r="L13" s="9" cm="1" t="str">
        <f t="array" ref="L13">IF(C13="","",IF(K13="Mort / Plus rien à faire","KO","OK"))</f>
        <v>OK</v>
      </c>
      <c r="M13" s="13">
        <v>46139.72862268519</v>
      </c>
      <c r="N13" s="13" cm="1" t="n">
        <f t="array" ref="N13">IF(OR(C13="",M13="",M13=0),"",M13)</f>
        <v>46139.72862268519</v>
      </c>
      <c r="O13" s="13">
</c>
      <c r="P13" s="13" cm="1" t="str">
        <f t="array" ref="P13">IF(C13="","",IF(OR(O13="",O13=0),"-",O13))</f>
        <v>-</v>
      </c>
      <c r="Q13" s="14">
        <v>1000000</v>
      </c>
      <c r="R13" s="9" cm="1" t="str">
        <f t="array" ref="R13">IF(C13="","",ROUND(Q13/1000000,3)&amp;" M€")</f>
        <v>1 M€</v>
      </c>
      <c r="S13" s="15">
        <v>50</v>
      </c>
      <c r="T13" s="9" cm="1" t="str">
        <f t="array" ref="T13">IF(C13="","",SUBSTITUTE(S13,"","")&amp;"%")</f>
        <v>50%</v>
      </c>
      <c r="U13" s="11" cm="1" t="str">
        <f t="array" ref="U13">IF(($N13="")*($P13=""),"",IF(($N13&lt;&gt;"")*($N13&gt;TODAY()-9)*($N13&lt;TODAY()+1)*($P13&lt;&gt;"")*($P13&gt;=TODAY())*($P13&lt;=TODAY()+13),"Semaine passée &amp; à venir",IF(($N13&lt;&gt;"")*($N13&gt;TODAY()-9)*($N13&lt;TODAY()+1),"Semaine passée",IF(($P13&lt;&gt;"")*($P13&gt;=TODAY())*($P13&lt;=TODAY()+13),"À venir","Autre"))))</f>
        <v>Semaine passée</v>
      </c>
      <c r="V13" cm="1" t="n">
        <f t="array" ref="V13">IF(C13&lt;&gt;"",1,0)</f>
        <v>1</v>
      </c>
    </row>
    <row r="14" ht="78.75" customHeight="1">
      <c r="A14" s="9" t="s">
        <v>23</v>
      </c>
      <c r="B14" s="9" t="s">
        <v>47</v>
      </c>
      <c r="C14" s="10" t="s">
        <v>56</v>
      </c>
      <c r="D14" s="10" t="s">
        <v>57</v>
      </c>
      <c r="E14" s="9" t="s">
        <v>26</v>
      </c>
      <c r="F14" s="12" t="s">
        <v>58</v>
      </c>
      <c r="G14" s="11" cm="1" t="str">
        <f t="array" ref="G14">IF(F14="","",SUBSTITUTE(SUBSTITUTE(SUBSTITUTE(SUBSTITUTE(F14,"&lt;li&gt;",CHAR(10)),"&lt;/li&gt;",""),"&lt;br&gt;",CHAR(10)),"&lt;strong&gt;",""))</f>
        <v>&lt;p&gt;Appels réguliers avec Alexandre Hapern (famille Dassault) sur fonds spatial. Due diligence en cours. Décision potentielle avec Julien Dassault pour ticket juin-juillet 2026. Plusieurs fonds à proposer courant mai. Suivi actif, attente retour prospects sur sélection fonds et perspectives investissement 1-3M.&lt;/p&gt;</v>
      </c>
      <c r="H14" s="11" cm="1" t="str">
        <f t="array" ref="H14">IF(G14="","",SUBSTITUTE(SUBSTITUTE(SUBSTITUTE(SUBSTITUTE(SUBSTITUTE(G14,"&lt;p&gt;",""),"&lt;/p&gt;",""),"&lt;ul&gt;",""),"&lt;/ul&gt;",""),"&lt;/strong&gt;",""))</f>
        <v>Appels réguliers avec Alexandre Hapern (famille Dassault) sur fonds spatial. Due diligence en cours. Décision potentielle avec Julien Dassault pour ticket juin-juillet 2026. Plusieurs fonds à proposer courant mai. Suivi actif, attente retour prospects sur sélection fonds et perspectives investissement 1-3M.</v>
      </c>
      <c r="I14" s="11" cm="1" t="str">
        <f t="array" ref="I14">IF(C14="","",IF(OR(H14="",H14=0,H14=FALSE),"-",H14))</f>
        <v>Appels réguliers avec Alexandre Hapern (famille Dassault) sur fonds spatial. Due diligence en cours. Décision potentielle avec Julien Dassault pour ticket juin-juillet 2026. Plusieurs fonds à proposer courant mai. Suivi actif, attente retour prospects sur sélection fonds et perspectives investissement 1-3M.</v>
      </c>
      <c r="J14" s="12" t="s">
        <v>59</v>
      </c>
      <c r="K14" s="9" t="s">
        <v>46</v>
      </c>
      <c r="L14" s="9" cm="1" t="str">
        <f t="array" ref="L14">IF(C14="","",IF(K14="Mort / Plus rien à faire","KO","OK"))</f>
        <v>OK</v>
      </c>
      <c r="M14" s="13">
        <v>46139.573379629626</v>
      </c>
      <c r="N14" s="13" cm="1" t="n">
        <f t="array" ref="N14">IF(OR(C14="",M14="",M14=0),"",M14)</f>
        <v>46139.573379629626</v>
      </c>
      <c r="O14" s="13">
        <v>46154.083333333336</v>
      </c>
      <c r="P14" s="13" cm="1" t="n">
        <f t="array" ref="P14">IF(C14="","",IF(OR(O14="",O14=0),"-",O14))</f>
        <v>46154.083333333336</v>
      </c>
      <c r="Q14" s="14">
        <v>3000000</v>
      </c>
      <c r="R14" s="9" cm="1" t="str">
        <f t="array" ref="R14">IF(C14="","",ROUND(Q14/1000000,3)&amp;" M€")</f>
        <v>3 M€</v>
      </c>
      <c r="S14" s="15">
        <v>30</v>
      </c>
      <c r="T14" s="9" cm="1" t="str">
        <f t="array" ref="T14">IF(C14="","",SUBSTITUTE(S14,"","")&amp;"%")</f>
        <v>30%</v>
      </c>
      <c r="U14" s="11" cm="1" t="str">
        <f t="array" ref="U14">IF(($N14="")*($P14=""),"",IF(($N14&lt;&gt;"")*($N14&gt;TODAY()-9)*($N14&lt;TODAY()+1)*($P14&lt;&gt;"")*($P14&gt;=TODAY())*($P14&lt;=TODAY()+13),"Semaine passée &amp; à venir",IF(($N14&lt;&gt;"")*($N14&gt;TODAY()-9)*($N14&lt;TODAY()+1),"Semaine passée",IF(($P14&lt;&gt;"")*($P14&gt;=TODAY())*($P14&lt;=TODAY()+13),"À venir","Autre"))))</f>
        <v>Semaine passée &amp; à venir</v>
      </c>
      <c r="V14" cm="1" t="n">
        <f t="array" ref="V14">IF(C14&lt;&gt;"",1,0)</f>
        <v>1</v>
      </c>
    </row>
    <row r="15" ht="78.75" customHeight="1">
      <c r="A15" s="9" t="s">
        <v>23</v>
      </c>
      <c r="B15" s="9" t="s">
        <v>31</v>
      </c>
      <c r="C15" s="10" t="s">
        <v>60</v>
      </c>
      <c r="D15" s="10" t="s">
        <v>61</v>
      </c>
      <c r="E15" s="9" t="s">
        <v>62</v>
      </c>
      <c r="F15" s="12" t="s">
        <v>63</v>
      </c>
      <c r="G15" s="11" cm="1" t="str">
        <f t="array" ref="G15">IF(F15="","",SUBSTITUTE(SUBSTITUTE(SUBSTITUTE(SUBSTITUTE(F15,"&lt;li&gt;",CHAR(10)),"&lt;/li&gt;",""),"&lt;br&gt;",CHAR(10)),"&lt;strong&gt;",""))</f>
        <v>&lt;p&gt;Café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Cavalié.&lt;/p&gt;</v>
      </c>
      <c r="H15" s="11" cm="1" t="str">
        <f t="array" ref="H15">IF(G15="","",SUBSTITUTE(SUBSTITUTE(SUBSTITUTE(SUBSTITUTE(SUBSTITUTE(G15,"&lt;p&gt;",""),"&lt;/p&gt;",""),"&lt;ul&gt;",""),"&lt;/ul&gt;",""),"&lt;/strong&gt;",""))</f>
        <v>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v>
      </c>
      <c r="I15" s="11" cm="1" t="str">
        <f t="array" ref="I15">IF(C15="","",IF(OR(H15="",H15=0,H15=FALSE),"-",H15))</f>
        <v>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v>
      </c>
      <c r="J15" s="12">
</c>
      <c r="K15" s="9" t="s">
        <v>46</v>
      </c>
      <c r="L15" s="9" cm="1" t="str">
        <f t="array" ref="L15">IF(C15="","",IF(K15="Mort / Plus rien à faire","KO","OK"))</f>
        <v>OK</v>
      </c>
      <c r="M15" s="13">
        <v>46105.661574074074</v>
      </c>
      <c r="N15" s="13" cm="1" t="n">
        <f t="array" ref="N15">IF(OR(C15="",M15="",M15=0),"",M15)</f>
        <v>46105.661574074074</v>
      </c>
      <c r="O15" s="13">
</c>
      <c r="P15" s="13" cm="1" t="str">
        <f t="array" ref="P15">IF(C15="","",IF(OR(O15="",O15=0),"-",O15))</f>
        <v>-</v>
      </c>
      <c r="Q15" s="14">
        <v>0</v>
      </c>
      <c r="R15" s="9" cm="1" t="str">
        <f t="array" ref="R15">IF(C15="","",ROUND(Q15/1000000,3)&amp;" M€")</f>
        <v>0 M€</v>
      </c>
      <c r="S15" s="15">
        <v>30</v>
      </c>
      <c r="T15" s="9" cm="1" t="str">
        <f t="array" ref="T15">IF(C15="","",SUBSTITUTE(S15,"","")&amp;"%")</f>
        <v>30%</v>
      </c>
      <c r="U15" s="11" cm="1" t="str">
        <f t="array" ref="U15">IF(($N15="")*($P15=""),"",IF(($N15&lt;&gt;"")*($N15&gt;TODAY()-9)*($N15&lt;TODAY()+1)*($P15&lt;&gt;"")*($P15&gt;=TODAY())*($P15&lt;=TODAY()+13),"Semaine passée &amp; à venir",IF(($N15&lt;&gt;"")*($N15&gt;TODAY()-9)*($N15&lt;TODAY()+1),"Semaine passée",IF(($P15&lt;&gt;"")*($P15&gt;=TODAY())*($P15&lt;=TODAY()+13),"À venir","Autre"))))</f>
        <v>Autre</v>
      </c>
      <c r="V15" cm="1" t="n">
        <f t="array" ref="V15">IF(C15&lt;&gt;"",1,0)</f>
        <v>1</v>
      </c>
    </row>
    <row r="16" ht="78.75" customHeight="1">
      <c r="A16" s="9" t="s">
        <v>23</v>
      </c>
      <c r="B16" s="9" t="s">
        <v>64</v>
      </c>
      <c r="C16" s="10" t="s">
        <v>65</v>
      </c>
      <c r="D16" s="10" t="s">
        <v>66</v>
      </c>
      <c r="E16" s="9" t="s">
        <v>67</v>
      </c>
      <c r="F16" s="12" t="s">
        <v>68</v>
      </c>
      <c r="G16" s="11" cm="1" t="str">
        <f t="array" ref="G16">IF(F16="","",SUBSTITUTE(SUBSTITUTE(SUBSTITUTE(SUBSTITUTE(F16,"&lt;li&gt;",CHAR(10)),"&lt;/li&gt;",""),"&lt;br&gt;",CHAR(10)),"&lt;strong&gt;",""))</f>
        <v>&lt;p&gt;Déjeuner avec Benoit Bourdin le 7 avril. Feedback : bascule faite sur Capital Innovation, pas d'intérêt marqué pour Geodesic. Nouvelle piste créée pour l'équipe Ventes. Aucune action future planifiée, pas d'autres retours ou activités en attente. Dernière action le 7 avril.&lt;/p&gt;</v>
      </c>
      <c r="H16" s="11" cm="1" t="str">
        <f t="array" ref="H16">IF(G16="","",SUBSTITUTE(SUBSTITUTE(SUBSTITUTE(SUBSTITUTE(SUBSTITUTE(G16,"&lt;p&gt;",""),"&lt;/p&gt;",""),"&lt;ul&gt;",""),"&lt;/ul&gt;",""),"&lt;/strong&gt;",""))</f>
        <v>Déjeuner avec Benoit Bourdin le 7 avril. Feedback : bascule faite sur Capital Innovation, pas d'intérêt marqué pour Geodesic. Nouvelle piste créée pour l'équipe Ventes. Aucune action future planifiée, pas d'autres retours ou activités en attente. Dernière action le 7 avril.</v>
      </c>
      <c r="I16" s="11" cm="1" t="str">
        <f t="array" ref="I16">IF(C16="","",IF(OR(H16="",H16=0,H16=FALSE),"-",H16))</f>
        <v>Déjeuner avec Benoit Bourdin le 7 avril. Feedback : bascule faite sur Capital Innovation, pas d'intérêt marqué pour Geodesic. Nouvelle piste créée pour l'équipe Ventes. Aucune action future planifiée, pas d'autres retours ou activités en attente. Dernière action le 7 avril.</v>
      </c>
      <c r="J16" s="12">
</c>
      <c r="K16" s="9" t="s">
        <v>69</v>
      </c>
      <c r="L16" s="9" cm="1" t="str">
        <f t="array" ref="L16">IF(C16="","",IF(K16="Mort / Plus rien à faire","KO","OK"))</f>
        <v>OK</v>
      </c>
      <c r="M16" s="13">
        <v>46125.418275462966</v>
      </c>
      <c r="N16" s="13" cm="1" t="n">
        <f t="array" ref="N16">IF(OR(C16="",M16="",M16=0),"",M16)</f>
        <v>46125.418275462966</v>
      </c>
      <c r="O16" s="13">
</c>
      <c r="P16" s="13" cm="1" t="str">
        <f t="array" ref="P16">IF(C16="","",IF(OR(O16="",O16=0),"-",O16))</f>
        <v>-</v>
      </c>
      <c r="Q16" s="14">
        <v>1000000</v>
      </c>
      <c r="R16" s="9" cm="1" t="str">
        <f t="array" ref="R16">IF(C16="","",ROUND(Q16/1000000,3)&amp;" M€")</f>
        <v>1 M€</v>
      </c>
      <c r="S16" s="15">
        <v>30</v>
      </c>
      <c r="T16" s="9" cm="1" t="str">
        <f t="array" ref="T16">IF(C16="","",SUBSTITUTE(S16,"","")&amp;"%")</f>
        <v>30%</v>
      </c>
      <c r="U16" s="11" cm="1" t="str">
        <f t="array" ref="U16">IF(($N16="")*($P16=""),"",IF(($N16&lt;&gt;"")*($N16&gt;TODAY()-9)*($N16&lt;TODAY()+1)*($P16&lt;&gt;"")*($P16&gt;=TODAY())*($P16&lt;=TODAY()+13),"Semaine passée &amp; à venir",IF(($N16&lt;&gt;"")*($N16&gt;TODAY()-9)*($N16&lt;TODAY()+1),"Semaine passée",IF(($P16&lt;&gt;"")*($P16&gt;=TODAY())*($P16&lt;=TODAY()+13),"À venir","Autre"))))</f>
        <v>Autre</v>
      </c>
      <c r="V16" cm="1" t="n">
        <f t="array" ref="V16">IF(C16&lt;&gt;"",1,0)</f>
        <v>1</v>
      </c>
    </row>
    <row r="17" ht="78.75" customHeight="1">
      <c r="A17" s="9" t="s">
        <v>23</v>
      </c>
      <c r="B17" s="9" t="s">
        <v>47</v>
      </c>
      <c r="C17" s="10" t="s">
        <v>70</v>
      </c>
      <c r="D17" s="10" t="s">
        <v>71</v>
      </c>
      <c r="E17" s="9" t="s">
        <v>67</v>
      </c>
      <c r="F17" s="12" t="s">
        <v>72</v>
      </c>
      <c r="G17" s="11" cm="1" t="str">
        <f t="array" ref="G17">IF(F17="","",SUBSTITUTE(SUBSTITUTE(SUBSTITUTE(SUBSTITUTE(F17,"&lt;li&gt;",CHAR(10)),"&lt;/li&gt;",""),"&lt;br&gt;",CHAR(10)),"&lt;strong&gt;",""))</f>
        <v>&lt;p&gt;Alain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financier.&lt;/p&gt;</v>
      </c>
      <c r="H17" s="11" cm="1" t="str">
        <f t="array" ref="H17">IF(G17="","",SUBSTITUTE(SUBSTITUTE(SUBSTITUTE(SUBSTITUTE(SUBSTITUTE(G17,"&lt;p&gt;",""),"&lt;/p&gt;",""),"&lt;ul&gt;",""),"&lt;/ul&gt;",""),"&lt;/strong&gt;",""))</f>
        <v>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v>
      </c>
      <c r="I17" s="11" cm="1" t="str">
        <f t="array" ref="I17">IF(C17="","",IF(OR(H17="",H17=0,H17=FALSE),"-",H17))</f>
        <v>Alain prêt à investir 5-10M€ PE, fort intérêt Newspace (Geodesic), Straton, feeder VC. Coordination à prévoir avec son frère (vente 40M€ 2CRSI, besoin 150M€). Idée fonds dédié frères, cross sale, club investisseurs. Audacia sollicité pour rachat boîte drones. Prochain rdv juin 2026 avec juriste puis financier.</v>
      </c>
      <c r="J17" s="12">
</c>
      <c r="K17" s="9" t="s">
        <v>46</v>
      </c>
      <c r="L17" s="9" cm="1" t="str">
        <f t="array" ref="L17">IF(C17="","",IF(K17="Mort / Plus rien à faire","KO","OK"))</f>
        <v>OK</v>
      </c>
      <c r="M17" s="13">
        <v>46128.74921296296</v>
      </c>
      <c r="N17" s="13" cm="1" t="n">
        <f t="array" ref="N17">IF(OR(C17="",M17="",M17=0),"",M17)</f>
        <v>46128.74921296296</v>
      </c>
      <c r="O17" s="13">
</c>
      <c r="P17" s="13" cm="1" t="str">
        <f t="array" ref="P17">IF(C17="","",IF(OR(O17="",O17=0),"-",O17))</f>
        <v>-</v>
      </c>
      <c r="Q17" s="14">
        <v>1000000</v>
      </c>
      <c r="R17" s="9" cm="1" t="str">
        <f t="array" ref="R17">IF(C17="","",ROUND(Q17/1000000,3)&amp;" M€")</f>
        <v>1 M€</v>
      </c>
      <c r="S17" s="15">
        <v>30</v>
      </c>
      <c r="T17" s="9" cm="1" t="str">
        <f t="array" ref="T17">IF(C17="","",SUBSTITUTE(S17,"","")&amp;"%")</f>
        <v>30%</v>
      </c>
      <c r="U17" s="11" cm="1" t="str">
        <f t="array" ref="U17">IF(($N17="")*($P17=""),"",IF(($N17&lt;&gt;"")*($N17&gt;TODAY()-9)*($N17&lt;TODAY()+1)*($P17&lt;&gt;"")*($P17&gt;=TODAY())*($P17&lt;=TODAY()+13),"Semaine passée &amp; à venir",IF(($N17&lt;&gt;"")*($N17&gt;TODAY()-9)*($N17&lt;TODAY()+1),"Semaine passée",IF(($P17&lt;&gt;"")*($P17&gt;=TODAY())*($P17&lt;=TODAY()+13),"À venir","Autre"))))</f>
        <v>Autre</v>
      </c>
      <c r="V17" cm="1" t="n">
        <f t="array" ref="V17">IF(C17&lt;&gt;"",1,0)</f>
        <v>1</v>
      </c>
    </row>
    <row r="18" ht="78.75" customHeight="1">
      <c r="A18" s="9" t="s">
        <v>23</v>
      </c>
      <c r="B18" s="9" t="s">
        <v>31</v>
      </c>
      <c r="C18" s="10" t="s">
        <v>73</v>
      </c>
      <c r="D18" s="10" t="s">
        <v>74</v>
      </c>
      <c r="E18" s="9" t="s">
        <v>62</v>
      </c>
      <c r="F18" s="12" t="s">
        <v>75</v>
      </c>
      <c r="G18" s="11" cm="1" t="str">
        <f t="array" ref="G18">IF(F18="","",SUBSTITUTE(SUBSTITUTE(SUBSTITUTE(SUBSTITUTE(F18,"&lt;li&gt;",CHAR(10)),"&lt;/li&gt;",""),"&lt;br&gt;",CHAR(10)),"&lt;strong&gt;",""))</f>
        <v>&lt;p&gt;Visio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mars.&lt;/p&gt;</v>
      </c>
      <c r="H18" s="11" cm="1" t="str">
        <f t="array" ref="H18">IF(G18="","",SUBSTITUTE(SUBSTITUTE(SUBSTITUTE(SUBSTITUTE(SUBSTITUTE(G18,"&lt;p&gt;",""),"&lt;/p&gt;",""),"&lt;ul&gt;",""),"&lt;/ul&gt;",""),"&lt;/strong&gt;",""))</f>
        <v>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v>
      </c>
      <c r="I18" s="11" cm="1" t="str">
        <f t="array" ref="I18">IF(C18="","",IF(OR(H18="",H18=0,H18=FALSE),"-",H18))</f>
        <v>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v>
      </c>
      <c r="J18" s="12" t="s">
        <v>76</v>
      </c>
      <c r="K18" s="9" t="s">
        <v>77</v>
      </c>
      <c r="L18" s="9" cm="1" t="str">
        <f t="array" ref="L18">IF(C18="","",IF(K18="Mort / Plus rien à faire","KO","OK"))</f>
        <v>OK</v>
      </c>
      <c r="M18" s="13">
        <v>46093.66744212963</v>
      </c>
      <c r="N18" s="13" cm="1" t="n">
        <f t="array" ref="N18">IF(OR(C18="",M18="",M18=0),"",M18)</f>
        <v>46093.66744212963</v>
      </c>
      <c r="O18" s="13">
        <v>46146.625</v>
      </c>
      <c r="P18" s="13" cm="1" t="n">
        <f t="array" ref="P18">IF(C18="","",IF(OR(O18="",O18=0),"-",O18))</f>
        <v>46146.625</v>
      </c>
      <c r="Q18" s="14">
        <v>0</v>
      </c>
      <c r="R18" s="9" cm="1" t="str">
        <f t="array" ref="R18">IF(C18="","",ROUND(Q18/1000000,3)&amp;" M€")</f>
        <v>0 M€</v>
      </c>
      <c r="S18" s="15">
        <v>30</v>
      </c>
      <c r="T18" s="9" cm="1" t="str">
        <f t="array" ref="T18">IF(C18="","",SUBSTITUTE(S18,"","")&amp;"%")</f>
        <v>30%</v>
      </c>
      <c r="U18" s="11" cm="1" t="str">
        <f t="array" ref="U18">IF(($N18="")*($P18=""),"",IF(($N18&lt;&gt;"")*($N18&gt;TODAY()-9)*($N18&lt;TODAY()+1)*($P18&lt;&gt;"")*($P18&gt;=TODAY())*($P18&lt;=TODAY()+13),"Semaine passée &amp; à venir",IF(($N18&lt;&gt;"")*($N18&gt;TODAY()-9)*($N18&lt;TODAY()+1),"Semaine passée",IF(($P18&lt;&gt;"")*($P18&gt;=TODAY())*($P18&lt;=TODAY()+13),"À venir","Autre"))))</f>
        <v>À venir</v>
      </c>
      <c r="V18" cm="1" t="n">
        <f t="array" ref="V18">IF(C18&lt;&gt;"",1,0)</f>
        <v>1</v>
      </c>
    </row>
    <row r="19" ht="78.75" customHeight="1">
      <c r="A19" s="9" t="s">
        <v>23</v>
      </c>
      <c r="B19" s="9" t="s">
        <v>24</v>
      </c>
      <c r="C19" s="10" t="s">
        <v>78</v>
      </c>
      <c r="D19" s="10" t="s">
        <v>78</v>
      </c>
      <c r="E19" s="9" t="s">
        <v>79</v>
      </c>
      <c r="F19" s="12" t="s">
        <v>80</v>
      </c>
      <c r="G19" s="11" cm="1" t="str">
        <f t="array" ref="G19">IF(F19="","",SUBSTITUTE(SUBSTITUTE(SUBSTITUTE(SUBSTITUTE(F19,"&lt;li&gt;",CHAR(10)),"&lt;/li&gt;",""),"&lt;br&gt;",CHAR(10)),"&lt;strong&gt;",""))</f>
        <v>&lt;p&gt;Lead OdP, piste créée équipe Ventes. 11/03 RDV physique, échange avec OdP : intérêt pour levée Latitude, deal ATDI, événement LP. Pas de retour prospect sur fonds présentés. Dernière action : relance à prévoir (27/04). Prochaine étape : relancer le contact, pas d'autres actions planifiées.&lt;/p&gt;</v>
      </c>
      <c r="H19" s="11" cm="1" t="str">
        <f t="array" ref="H19">IF(G19="","",SUBSTITUTE(SUBSTITUTE(SUBSTITUTE(SUBSTITUTE(SUBSTITUTE(G19,"&lt;p&gt;",""),"&lt;/p&gt;",""),"&lt;ul&gt;",""),"&lt;/ul&gt;",""),"&lt;/strong&gt;",""))</f>
        <v>Lead OdP, piste créée équipe Ventes. 11/03 RDV physique, échange avec OdP : intérêt pour levée Latitude, deal ATDI, événement LP. Pas de retour prospect sur fonds présentés. Dernière action : relance à prévoir (27/04). Prochaine étape : relancer le contact, pas d'autres actions planifiées.</v>
      </c>
      <c r="I19" s="11" cm="1" t="str">
        <f t="array" ref="I19">IF(C19="","",IF(OR(H19="",H19=0,H19=FALSE),"-",H19))</f>
        <v>Lead OdP, piste créée équipe Ventes. 11/03 RDV physique, échange avec OdP : intérêt pour levée Latitude, deal ATDI, événement LP. Pas de retour prospect sur fonds présentés. Dernière action : relance à prévoir (27/04). Prochaine étape : relancer le contact, pas d'autres actions planifiées.</v>
      </c>
      <c r="J19" s="12">
</c>
      <c r="K19" s="9" t="s">
        <v>46</v>
      </c>
      <c r="L19" s="9" cm="1" t="str">
        <f t="array" ref="L19">IF(C19="","",IF(K19="Mort / Plus rien à faire","KO","OK"))</f>
        <v>OK</v>
      </c>
      <c r="M19" s="13">
        <v>46139.674942129626</v>
      </c>
      <c r="N19" s="13" cm="1" t="n">
        <f t="array" ref="N19">IF(OR(C19="",M19="",M19=0),"",M19)</f>
        <v>46139.674942129626</v>
      </c>
      <c r="O19" s="13">
</c>
      <c r="P19" s="13" cm="1" t="str">
        <f t="array" ref="P19">IF(C19="","",IF(OR(O19="",O19=0),"-",O19))</f>
        <v>-</v>
      </c>
      <c r="Q19" s="14">
        <v>1000000</v>
      </c>
      <c r="R19" s="9" cm="1" t="str">
        <f t="array" ref="R19">IF(C19="","",ROUND(Q19/1000000,3)&amp;" M€")</f>
        <v>1 M€</v>
      </c>
      <c r="S19" s="15">
        <v>30</v>
      </c>
      <c r="T19" s="9" cm="1" t="str">
        <f t="array" ref="T19">IF(C19="","",SUBSTITUTE(S19,"","")&amp;"%")</f>
        <v>30%</v>
      </c>
      <c r="U19" s="11" cm="1" t="str">
        <f t="array" ref="U19">IF(($N19="")*($P19=""),"",IF(($N19&lt;&gt;"")*($N19&gt;TODAY()-9)*($N19&lt;TODAY()+1)*($P19&lt;&gt;"")*($P19&gt;=TODAY())*($P19&lt;=TODAY()+13),"Semaine passée &amp; à venir",IF(($N19&lt;&gt;"")*($N19&gt;TODAY()-9)*($N19&lt;TODAY()+1),"Semaine passée",IF(($P19&lt;&gt;"")*($P19&gt;=TODAY())*($P19&lt;=TODAY()+13),"À venir","Autre"))))</f>
        <v>Semaine passée</v>
      </c>
      <c r="V19" cm="1" t="n">
        <f t="array" ref="V19">IF(C19&lt;&gt;"",1,0)</f>
        <v>1</v>
      </c>
    </row>
    <row r="20" ht="78.75" customHeight="1">
      <c r="A20" s="9" t="s">
        <v>23</v>
      </c>
      <c r="B20" s="9" t="s">
        <v>24</v>
      </c>
      <c r="C20" s="10" t="s">
        <v>81</v>
      </c>
      <c r="D20" s="10" t="s">
        <v>81</v>
      </c>
      <c r="E20" s="9" t="s">
        <v>79</v>
      </c>
      <c r="F20" s="12" t="s">
        <v>82</v>
      </c>
      <c r="G20" s="11" cm="1" t="str">
        <f t="array" ref="G20">IF(F20="","",SUBSTITUTE(SUBSTITUTE(SUBSTITUTE(SUBSTITUTE(F20,"&lt;li&gt;",CHAR(10)),"&lt;/li&gt;",""),"&lt;br&gt;",CHAR(10)),"&lt;strong&gt;",""))</f>
        <v>&lt;p&gt;Lead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stade.&lt;/p&gt;</v>
      </c>
      <c r="H20" s="11" cm="1" t="str">
        <f t="array" ref="H20">IF(G20="","",SUBSTITUTE(SUBSTITUTE(SUBSTITUTE(SUBSTITUTE(SUBSTITUTE(G20,"&lt;p&gt;",""),"&lt;/p&gt;",""),"&lt;ul&gt;",""),"&lt;/ul&gt;",""),"&lt;/strong&gt;",""))</f>
        <v>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v>
      </c>
      <c r="I20" s="11" cm="1" t="str">
        <f t="array" ref="I20">IF(C20="","",IF(OR(H20="",H20=0,H20=FALSE),"-",H20))</f>
        <v>Lead créé pour équipe Ventes (11/03), origine OdP. Revu aux journées de Bourrienne (27/04), accord pour reparler. Pas d'autres échanges ou activités notables recensés. Prochaine étape : relancer suite à accord pour nouvel échange. Aucun retour prospect sur fonds présenté à ce stade.</v>
      </c>
      <c r="J20" s="12">
</c>
      <c r="K20" s="9" t="s">
        <v>46</v>
      </c>
      <c r="L20" s="9" cm="1" t="str">
        <f t="array" ref="L20">IF(C20="","",IF(K20="Mort / Plus rien à faire","KO","OK"))</f>
        <v>OK</v>
      </c>
      <c r="M20" s="13">
        <v>46139.67565972222</v>
      </c>
      <c r="N20" s="13" cm="1" t="n">
        <f t="array" ref="N20">IF(OR(C20="",M20="",M20=0),"",M20)</f>
        <v>46139.67565972222</v>
      </c>
      <c r="O20" s="13">
</c>
      <c r="P20" s="13" cm="1" t="str">
        <f t="array" ref="P20">IF(C20="","",IF(OR(O20="",O20=0),"-",O20))</f>
        <v>-</v>
      </c>
      <c r="Q20" s="14">
        <v>0</v>
      </c>
      <c r="R20" s="9" cm="1" t="str">
        <f t="array" ref="R20">IF(C20="","",ROUND(Q20/1000000,3)&amp;" M€")</f>
        <v>0 M€</v>
      </c>
      <c r="S20" s="15">
        <v>30</v>
      </c>
      <c r="T20" s="9" cm="1" t="str">
        <f t="array" ref="T20">IF(C20="","",SUBSTITUTE(S20,"","")&amp;"%")</f>
        <v>30%</v>
      </c>
      <c r="U20" s="11" cm="1" t="str">
        <f t="array" ref="U20">IF(($N20="")*($P20=""),"",IF(($N20&lt;&gt;"")*($N20&gt;TODAY()-9)*($N20&lt;TODAY()+1)*($P20&lt;&gt;"")*($P20&gt;=TODAY())*($P20&lt;=TODAY()+13),"Semaine passée &amp; à venir",IF(($N20&lt;&gt;"")*($N20&gt;TODAY()-9)*($N20&lt;TODAY()+1),"Semaine passée",IF(($P20&lt;&gt;"")*($P20&gt;=TODAY())*($P20&lt;=TODAY()+13),"À venir","Autre"))))</f>
        <v>Semaine passée</v>
      </c>
      <c r="V20" cm="1" t="n">
        <f t="array" ref="V20">IF(C20&lt;&gt;"",1,0)</f>
        <v>1</v>
      </c>
    </row>
    <row r="21" ht="78.75" customHeight="1">
      <c r="A21" s="9" t="s">
        <v>23</v>
      </c>
      <c r="B21" s="9" t="s">
        <v>37</v>
      </c>
      <c r="C21" s="10" t="s">
        <v>83</v>
      </c>
      <c r="D21" s="10" t="s">
        <v>84</v>
      </c>
      <c r="E21" s="9" t="s">
        <v>26</v>
      </c>
      <c r="F21" s="12" t="s">
        <v>85</v>
      </c>
      <c r="G21" s="11" cm="1" t="str">
        <f t="array" ref="G21">IF(F21="","",SUBSTITUTE(SUBSTITUTE(SUBSTITUTE(SUBSTITUTE(F21,"&lt;li&gt;",CHAR(10)),"&lt;/li&gt;",""),"&lt;br&gt;",CHAR(10)),"&lt;strong&gt;",""))</f>
        <v>&lt;p&gt;09/02 point PTF C2 avec Thomas. 28/04 proposition de rdv faite par Romain à la demande d'Edouard. Lead créé pour équipe Ventes, enrichissement email impossible. Pas d'autres actions ni retours prospect. Prochaine étape : attendre retour suite proposition de rdv.&lt;/p&gt;</v>
      </c>
      <c r="H21" s="11" cm="1" t="str">
        <f t="array" ref="H21">IF(G21="","",SUBSTITUTE(SUBSTITUTE(SUBSTITUTE(SUBSTITUTE(SUBSTITUTE(G21,"&lt;p&gt;",""),"&lt;/p&gt;",""),"&lt;ul&gt;",""),"&lt;/ul&gt;",""),"&lt;/strong&gt;",""))</f>
        <v>09/02 point PTF C2 avec Thomas. 28/04 proposition de rdv faite par Romain à la demande d'Edouard. Lead créé pour équipe Ventes, enrichissement email impossible. Pas d'autres actions ni retours prospect. Prochaine étape : attendre retour suite proposition de rdv.</v>
      </c>
      <c r="I21" s="11" cm="1" t="str">
        <f t="array" ref="I21">IF(C21="","",IF(OR(H21="",H21=0,H21=FALSE),"-",H21))</f>
        <v>09/02 point PTF C2 avec Thomas. 28/04 proposition de rdv faite par Romain à la demande d'Edouard. Lead créé pour équipe Ventes, enrichissement email impossible. Pas d'autres actions ni retours prospect. Prochaine étape : attendre retour suite proposition de rdv.</v>
      </c>
      <c r="J21" s="12">
</c>
      <c r="K21" s="9" t="s">
        <v>46</v>
      </c>
      <c r="L21" s="9" cm="1" t="str">
        <f t="array" ref="L21">IF(C21="","",IF(K21="Mort / Plus rien à faire","KO","OK"))</f>
        <v>OK</v>
      </c>
      <c r="M21" s="13">
        <v>46140.81422453704</v>
      </c>
      <c r="N21" s="13" cm="1" t="n">
        <f t="array" ref="N21">IF(OR(C21="",M21="",M21=0),"",M21)</f>
        <v>46140.81422453704</v>
      </c>
      <c r="O21" s="13">
</c>
      <c r="P21" s="13" cm="1" t="str">
        <f t="array" ref="P21">IF(C21="","",IF(OR(O21="",O21=0),"-",O21))</f>
        <v>-</v>
      </c>
      <c r="Q21" s="14">
        <v>0</v>
      </c>
      <c r="R21" s="9" cm="1" t="str">
        <f t="array" ref="R21">IF(C21="","",ROUND(Q21/1000000,3)&amp;" M€")</f>
        <v>0 M€</v>
      </c>
      <c r="S21" s="15">
        <v>20</v>
      </c>
      <c r="T21" s="9" cm="1" t="str">
        <f t="array" ref="T21">IF(C21="","",SUBSTITUTE(S21,"","")&amp;"%")</f>
        <v>20%</v>
      </c>
      <c r="U21" s="11" cm="1" t="str">
        <f t="array" ref="U21">IF(($N21="")*($P21=""),"",IF(($N21&lt;&gt;"")*($N21&gt;TODAY()-9)*($N21&lt;TODAY()+1)*($P21&lt;&gt;"")*($P21&gt;=TODAY())*($P21&lt;=TODAY()+13),"Semaine passée &amp; à venir",IF(($N21&lt;&gt;"")*($N21&gt;TODAY()-9)*($N21&lt;TODAY()+1),"Semaine passée",IF(($P21&lt;&gt;"")*($P21&gt;=TODAY())*($P21&lt;=TODAY()+13),"À venir","Autre"))))</f>
        <v>Semaine passée</v>
      </c>
      <c r="V21" cm="1" t="n">
        <f t="array" ref="V21">IF(C21&lt;&gt;"",1,0)</f>
        <v>1</v>
      </c>
    </row>
    <row r="22" ht="78.75" customHeight="1">
      <c r="A22" s="9" t="s">
        <v>23</v>
      </c>
      <c r="B22" s="9" t="s">
        <v>31</v>
      </c>
      <c r="C22" s="10" t="s">
        <v>86</v>
      </c>
      <c r="D22" s="10" t="s">
        <v>87</v>
      </c>
      <c r="E22" s="9" t="s">
        <v>26</v>
      </c>
      <c r="F22" s="12" t="s">
        <v>88</v>
      </c>
      <c r="G22" s="11" cm="1" t="str">
        <f t="array" ref="G22">IF(F22="","",SUBSTITUTE(SUBSTITUTE(SUBSTITUTE(SUBSTITUTE(F22,"&lt;li&gt;",CHAR(10)),"&lt;/li&gt;",""),"&lt;br&gt;",CHAR(10)),"&lt;strong&gt;",""))</f>
        <v>&lt;p&gt;03/02/2026: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v>
      </c>
      <c r="H22" s="11" cm="1" t="str">
        <f t="array" ref="H22">IF(G22="","",SUBSTITUTE(SUBSTITUTE(SUBSTITUTE(SUBSTITUTE(SUBSTITUTE(G22,"&lt;p&gt;",""),"&lt;/p&gt;",""),"&lt;ul&gt;",""),"&lt;/ul&gt;",""),"&lt;/strong&gt;",""))</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I22" s="11" cm="1" t="str">
        <f t="array" ref="I22">IF(C22="","",IF(OR(H22="",H22=0,H22=FALSE),"-",H22))</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J22" s="12">
</c>
      <c r="K22" s="9" t="s">
        <v>46</v>
      </c>
      <c r="L22" s="9" cm="1" t="str">
        <f t="array" ref="L22">IF(C22="","",IF(K22="Mort / Plus rien à faire","KO","OK"))</f>
        <v>OK</v>
      </c>
      <c r="M22" s="13">
        <v>46069.51399305555</v>
      </c>
      <c r="N22" s="13" cm="1" t="n">
        <f t="array" ref="N22">IF(OR(C22="",M22="",M22=0),"",M22)</f>
        <v>46069.51399305555</v>
      </c>
      <c r="O22" s="13">
</c>
      <c r="P22" s="13" cm="1" t="str">
        <f t="array" ref="P22">IF(C22="","",IF(OR(O22="",O22=0),"-",O22))</f>
        <v>-</v>
      </c>
      <c r="Q22" s="14">
        <v>0</v>
      </c>
      <c r="R22" s="9" cm="1" t="str">
        <f t="array" ref="R22">IF(C22="","",ROUND(Q22/1000000,3)&amp;" M€")</f>
        <v>0 M€</v>
      </c>
      <c r="S22" s="15">
        <v>20</v>
      </c>
      <c r="T22" s="9" cm="1" t="str">
        <f t="array" ref="T22">IF(C22="","",SUBSTITUTE(S22,"","")&amp;"%")</f>
        <v>20%</v>
      </c>
      <c r="U22" s="11" cm="1" t="str">
        <f t="array" ref="U22">IF(($N22="")*($P22=""),"",IF(($N22&lt;&gt;"")*($N22&gt;TODAY()-9)*($N22&lt;TODAY()+1)*($P22&lt;&gt;"")*($P22&gt;=TODAY())*($P22&lt;=TODAY()+13),"Semaine passée &amp; à venir",IF(($N22&lt;&gt;"")*($N22&gt;TODAY()-9)*($N22&lt;TODAY()+1),"Semaine passée",IF(($P22&lt;&gt;"")*($P22&gt;=TODAY())*($P22&lt;=TODAY()+13),"À venir","Autre"))))</f>
        <v>Autre</v>
      </c>
      <c r="V22" cm="1" t="n">
        <f t="array" ref="V22">IF(C22&lt;&gt;"",1,0)</f>
        <v>1</v>
      </c>
    </row>
    <row r="23" ht="78.75" customHeight="1">
      <c r="A23" s="9" t="s">
        <v>23</v>
      </c>
      <c r="B23" s="9" t="s">
        <v>47</v>
      </c>
      <c r="C23" s="10" t="s">
        <v>89</v>
      </c>
      <c r="D23" s="10" t="s">
        <v>90</v>
      </c>
      <c r="E23" s="9" t="s">
        <v>67</v>
      </c>
      <c r="F23" s="12" t="s">
        <v>91</v>
      </c>
      <c r="G23" s="11" cm="1" t="str">
        <f t="array" ref="G23">IF(F23="","",SUBSTITUTE(SUBSTITUTE(SUBSTITUTE(SUBSTITUTE(F23,"&lt;li&gt;",CHAR(10)),"&lt;/li&gt;",""),"&lt;br&gt;",CHAR(10)),"&lt;strong&gt;",""))</f>
        <v>&lt;p&gt;RDV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v>
      </c>
      <c r="H23" s="11" cm="1" t="str">
        <f t="array" ref="H23">IF(G23="","",SUBSTITUTE(SUBSTITUTE(SUBSTITUTE(SUBSTITUTE(SUBSTITUTE(G23,"&lt;p&gt;",""),"&lt;/p&gt;",""),"&lt;ul&gt;",""),"&lt;/ul&gt;",""),"&lt;/strong&gt;",""))</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I23" s="11" cm="1" t="str">
        <f t="array" ref="I23">IF(C23="","",IF(OR(H23="",H23=0,H23=FALSE),"-",H23))</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J23" s="12" t="s">
        <v>92</v>
      </c>
      <c r="K23" s="9" t="s">
        <v>46</v>
      </c>
      <c r="L23" s="9" cm="1" t="str">
        <f t="array" ref="L23">IF(C23="","",IF(K23="Mort / Plus rien à faire","KO","OK"))</f>
        <v>OK</v>
      </c>
      <c r="M23" s="13">
        <v>46085.645891203705</v>
      </c>
      <c r="N23" s="13" cm="1" t="n">
        <f t="array" ref="N23">IF(OR(C23="",M23="",M23=0),"",M23)</f>
        <v>46085.645891203705</v>
      </c>
      <c r="O23" s="13">
</c>
      <c r="P23" s="13" cm="1" t="str">
        <f t="array" ref="P23">IF(C23="","",IF(OR(O23="",O23=0),"-",O23))</f>
        <v>-</v>
      </c>
      <c r="Q23" s="14">
        <v>0</v>
      </c>
      <c r="R23" s="9" cm="1" t="str">
        <f t="array" ref="R23">IF(C23="","",ROUND(Q23/1000000,3)&amp;" M€")</f>
        <v>0 M€</v>
      </c>
      <c r="S23" s="15">
        <v>20</v>
      </c>
      <c r="T23" s="9" cm="1" t="str">
        <f t="array" ref="T23">IF(C23="","",SUBSTITUTE(S23,"","")&amp;"%")</f>
        <v>20%</v>
      </c>
      <c r="U23" s="11" cm="1" t="str">
        <f t="array" ref="U23">IF(($N23="")*($P23=""),"",IF(($N23&lt;&gt;"")*($N23&gt;TODAY()-9)*($N23&lt;TODAY()+1)*($P23&lt;&gt;"")*($P23&gt;=TODAY())*($P23&lt;=TODAY()+13),"Semaine passée &amp; à venir",IF(($N23&lt;&gt;"")*($N23&gt;TODAY()-9)*($N23&lt;TODAY()+1),"Semaine passée",IF(($P23&lt;&gt;"")*($P23&gt;=TODAY())*($P23&lt;=TODAY()+13),"À venir","Autre"))))</f>
        <v>Autre</v>
      </c>
      <c r="V23" cm="1" t="n">
        <f t="array" ref="V23">IF(C23&lt;&gt;"",1,0)</f>
        <v>1</v>
      </c>
    </row>
    <row r="24" ht="78.75" customHeight="1">
      <c r="A24" s="9" t="s">
        <v>23</v>
      </c>
      <c r="B24" s="9" t="s">
        <v>31</v>
      </c>
      <c r="C24" s="10" t="s">
        <v>93</v>
      </c>
      <c r="D24" s="10" t="s">
        <v>94</v>
      </c>
      <c r="E24" s="9" t="s">
        <v>26</v>
      </c>
      <c r="F24" s="12" t="s">
        <v>95</v>
      </c>
      <c r="G24" s="11" cm="1" t="str">
        <f t="array" ref="G24">IF(F24="","",SUBSTITUTE(SUBSTITUTE(SUBSTITUTE(SUBSTITUTE(F24,"&lt;li&gt;",CHAR(10)),"&lt;/li&gt;",""),"&lt;br&gt;",CHAR(10)),"&lt;strong&gt;",""))</f>
        <v>&lt;p&gt;Intérêt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partenaire.&lt;/p&gt;</v>
      </c>
      <c r="H24" s="11" cm="1" t="str">
        <f t="array" ref="H24">IF(G24="","",SUBSTITUTE(SUBSTITUTE(SUBSTITUTE(SUBSTITUTE(SUBSTITUTE(G24,"&lt;p&gt;",""),"&lt;/p&gt;",""),"&lt;ul&gt;",""),"&lt;/ul&gt;",""),"&lt;/strong&gt;",""))</f>
        <v>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v>
      </c>
      <c r="I24" s="11" cm="1" t="str">
        <f t="array" ref="I24">IF(C24="","",IF(OR(H24="",H24=0,H24=FALSE),"-",H24))</f>
        <v>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v>
      </c>
      <c r="J24" s="12">
</c>
      <c r="K24" s="9" t="s">
        <v>46</v>
      </c>
      <c r="L24" s="9" cm="1" t="str">
        <f t="array" ref="L24">IF(C24="","",IF(K24="Mort / Plus rien à faire","KO","OK"))</f>
        <v>OK</v>
      </c>
      <c r="M24" s="13">
        <v>46108.696921296294</v>
      </c>
      <c r="N24" s="13" cm="1" t="n">
        <f t="array" ref="N24">IF(OR(C24="",M24="",M24=0),"",M24)</f>
        <v>46108.696921296294</v>
      </c>
      <c r="O24" s="13">
</c>
      <c r="P24" s="13" cm="1" t="str">
        <f t="array" ref="P24">IF(C24="","",IF(OR(O24="",O24=0),"-",O24))</f>
        <v>-</v>
      </c>
      <c r="Q24" s="14">
        <v>0</v>
      </c>
      <c r="R24" s="9" cm="1" t="str">
        <f t="array" ref="R24">IF(C24="","",ROUND(Q24/1000000,3)&amp;" M€")</f>
        <v>0 M€</v>
      </c>
      <c r="S24" s="15">
        <v>20</v>
      </c>
      <c r="T24" s="9" cm="1" t="str">
        <f t="array" ref="T24">IF(C24="","",SUBSTITUTE(S24,"","")&amp;"%")</f>
        <v>20%</v>
      </c>
      <c r="U24" s="11" cm="1" t="str">
        <f t="array" ref="U24">IF(($N24="")*($P24=""),"",IF(($N24&lt;&gt;"")*($N24&gt;TODAY()-9)*($N24&lt;TODAY()+1)*($P24&lt;&gt;"")*($P24&gt;=TODAY())*($P24&lt;=TODAY()+13),"Semaine passée &amp; à venir",IF(($N24&lt;&gt;"")*($N24&gt;TODAY()-9)*($N24&lt;TODAY()+1),"Semaine passée",IF(($P24&lt;&gt;"")*($P24&gt;=TODAY())*($P24&lt;=TODAY()+13),"À venir","Autre"))))</f>
        <v>Autre</v>
      </c>
      <c r="V24" cm="1" t="n">
        <f t="array" ref="V24">IF(C24&lt;&gt;"",1,0)</f>
        <v>1</v>
      </c>
    </row>
    <row r="25" ht="78.75" customHeight="1">
      <c r="A25" s="9" t="s">
        <v>23</v>
      </c>
      <c r="B25" s="9" t="s">
        <v>37</v>
      </c>
      <c r="C25" s="10" t="s">
        <v>96</v>
      </c>
      <c r="D25" s="10" t="s">
        <v>97</v>
      </c>
      <c r="E25" s="9" t="s">
        <v>26</v>
      </c>
      <c r="F25" s="12" t="s">
        <v>98</v>
      </c>
      <c r="G25" s="11" cm="1" t="str">
        <f t="array" ref="G25">IF(F25="","",SUBSTITUTE(SUBSTITUTE(SUBSTITUTE(SUBSTITUTE(F25,"&lt;li&gt;",CHAR(10)),"&lt;/li&gt;",""),"&lt;br&gt;",CHAR(10)),"&lt;strong&gt;",""))</f>
        <v>&lt;p&gt;04/02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v>
      </c>
      <c r="H25" s="11" cm="1" t="str">
        <f t="array" ref="H25">IF(G25="","",SUBSTITUTE(SUBSTITUTE(SUBSTITUTE(SUBSTITUTE(SUBSTITUTE(G25,"&lt;p&gt;",""),"&lt;/p&gt;",""),"&lt;ul&gt;",""),"&lt;/ul&gt;",""),"&lt;/strong&gt;",""))</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I25" s="11" cm="1" t="str">
        <f t="array" ref="I25">IF(C25="","",IF(OR(H25="",H25=0,H25=FALSE),"-",H25))</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J25" s="12">
</c>
      <c r="K25" s="9" t="s">
        <v>69</v>
      </c>
      <c r="L25" s="9" cm="1" t="str">
        <f t="array" ref="L25">IF(C25="","",IF(K25="Mort / Plus rien à faire","KO","OK"))</f>
        <v>OK</v>
      </c>
      <c r="M25" s="13">
        <v>46063.51189814815</v>
      </c>
      <c r="N25" s="13" cm="1" t="n">
        <f t="array" ref="N25">IF(OR(C25="",M25="",M25=0),"",M25)</f>
        <v>46063.51189814815</v>
      </c>
      <c r="O25" s="13">
</c>
      <c r="P25" s="13" cm="1" t="str">
        <f t="array" ref="P25">IF(C25="","",IF(OR(O25="",O25=0),"-",O25))</f>
        <v>-</v>
      </c>
      <c r="Q25" s="14">
        <v>100000</v>
      </c>
      <c r="R25" s="9" cm="1" t="str">
        <f t="array" ref="R25">IF(C25="","",ROUND(Q25/1000000,3)&amp;" M€")</f>
        <v>0.1 M€</v>
      </c>
      <c r="S25" s="15">
        <v>20</v>
      </c>
      <c r="T25" s="9" cm="1" t="str">
        <f t="array" ref="T25">IF(C25="","",SUBSTITUTE(S25,"","")&amp;"%")</f>
        <v>20%</v>
      </c>
      <c r="U25" s="11" cm="1" t="str">
        <f t="array" ref="U25">IF(($N25="")*($P25=""),"",IF(($N25&lt;&gt;"")*($N25&gt;TODAY()-9)*($N25&lt;TODAY()+1)*($P25&lt;&gt;"")*($P25&gt;=TODAY())*($P25&lt;=TODAY()+13),"Semaine passée &amp; à venir",IF(($N25&lt;&gt;"")*($N25&gt;TODAY()-9)*($N25&lt;TODAY()+1),"Semaine passée",IF(($P25&lt;&gt;"")*($P25&gt;=TODAY())*($P25&lt;=TODAY()+13),"À venir","Autre"))))</f>
        <v>Autre</v>
      </c>
      <c r="V25" cm="1" t="n">
        <f t="array" ref="V25">IF(C25&lt;&gt;"",1,0)</f>
        <v>1</v>
      </c>
    </row>
    <row r="26" ht="78.75" customHeight="1">
      <c r="A26" s="9" t="s">
        <v>23</v>
      </c>
      <c r="B26" s="9" t="s">
        <v>31</v>
      </c>
      <c r="C26" s="10" t="s">
        <v>99</v>
      </c>
      <c r="D26" s="10" t="s">
        <v>100</v>
      </c>
      <c r="E26" s="9" t="s">
        <v>26</v>
      </c>
      <c r="F26" s="12" t="s">
        <v>101</v>
      </c>
      <c r="G26" s="11" cm="1" t="str">
        <f t="array" ref="G26">IF(F26="","",SUBSTITUTE(SUBSTITUTE(SUBSTITUTE(SUBSTITUTE(F26,"&lt;li&gt;",CHAR(10)),"&lt;/li&gt;",""),"&lt;br&gt;",CHAR(10)),"&lt;strong&gt;",""))</f>
        <v>&lt;p&gt;04/02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v>
      </c>
      <c r="H26" s="11" cm="1" t="str">
        <f t="array" ref="H26">IF(G26="","",SUBSTITUTE(SUBSTITUTE(SUBSTITUTE(SUBSTITUTE(SUBSTITUTE(G26,"&lt;p&gt;",""),"&lt;/p&gt;",""),"&lt;ul&gt;",""),"&lt;/ul&gt;",""),"&lt;/strong&gt;",""))</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I26" s="11" cm="1" t="str">
        <f t="array" ref="I26">IF(C26="","",IF(OR(H26="",H26=0,H26=FALSE),"-",H26))</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J26" s="12">
</c>
      <c r="K26" s="9" t="s">
        <v>46</v>
      </c>
      <c r="L26" s="9" cm="1" t="str">
        <f t="array" ref="L26">IF(C26="","",IF(K26="Mort / Plus rien à faire","KO","OK"))</f>
        <v>OK</v>
      </c>
      <c r="M26" s="13">
        <v>46063.50944444445</v>
      </c>
      <c r="N26" s="13" cm="1" t="n">
        <f t="array" ref="N26">IF(OR(C26="",M26="",M26=0),"",M26)</f>
        <v>46063.50944444445</v>
      </c>
      <c r="O26" s="13">
</c>
      <c r="P26" s="13" cm="1" t="str">
        <f t="array" ref="P26">IF(C26="","",IF(OR(O26="",O26=0),"-",O26))</f>
        <v>-</v>
      </c>
      <c r="Q26" s="14">
        <v>100000</v>
      </c>
      <c r="R26" s="9" cm="1" t="str">
        <f t="array" ref="R26">IF(C26="","",ROUND(Q26/1000000,3)&amp;" M€")</f>
        <v>0.1 M€</v>
      </c>
      <c r="S26" s="15">
        <v>20</v>
      </c>
      <c r="T26" s="9" cm="1" t="str">
        <f t="array" ref="T26">IF(C26="","",SUBSTITUTE(S26,"","")&amp;"%")</f>
        <v>20%</v>
      </c>
      <c r="U26" s="11" cm="1" t="str">
        <f t="array" ref="U26">IF(($N26="")*($P26=""),"",IF(($N26&lt;&gt;"")*($N26&gt;TODAY()-9)*($N26&lt;TODAY()+1)*($P26&lt;&gt;"")*($P26&gt;=TODAY())*($P26&lt;=TODAY()+13),"Semaine passée &amp; à venir",IF(($N26&lt;&gt;"")*($N26&gt;TODAY()-9)*($N26&lt;TODAY()+1),"Semaine passée",IF(($P26&lt;&gt;"")*($P26&gt;=TODAY())*($P26&lt;=TODAY()+13),"À venir","Autre"))))</f>
        <v>Autre</v>
      </c>
      <c r="V26" cm="1" t="n">
        <f t="array" ref="V26">IF(C26&lt;&gt;"",1,0)</f>
        <v>1</v>
      </c>
    </row>
    <row r="27" ht="78.75" customHeight="1">
      <c r="A27" s="9" t="s">
        <v>23</v>
      </c>
      <c r="B27" s="9" t="s">
        <v>102</v>
      </c>
      <c r="C27" s="10" t="s">
        <v>103</v>
      </c>
      <c r="D27" s="10" t="s">
        <v>104</v>
      </c>
      <c r="E27" s="9" t="s">
        <v>26</v>
      </c>
      <c r="F27" s="12" t="s">
        <v>105</v>
      </c>
      <c r="G27" s="11" cm="1" t="str">
        <f t="array" ref="G27">IF(F27="","",SUBSTITUTE(SUBSTITUTE(SUBSTITUTE(SUBSTITUTE(F27,"&lt;li&gt;",CHAR(10)),"&lt;/li&gt;",""),"&lt;br&gt;",CHAR(10)),"&lt;strong&gt;",""))</f>
        <v>&lt;p&gt;05/02/2026 : Infos transmises, clients potentiellement intéressés, attente confirmation pour fixer rencontre avec Charles. Enrichissement lead impossible (email non valide). Nouvelle piste créée équipe Ventes. Prochaine étape : attente retour client pour RDV.&lt;/p&gt;</v>
      </c>
      <c r="H27" s="11" cm="1" t="str">
        <f t="array" ref="H27">IF(G27="","",SUBSTITUTE(SUBSTITUTE(SUBSTITUTE(SUBSTITUTE(SUBSTITUTE(G27,"&lt;p&gt;",""),"&lt;/p&gt;",""),"&lt;ul&gt;",""),"&lt;/ul&gt;",""),"&lt;/strong&gt;",""))</f>
        <v>05/02/2026 : Infos transmises, clients potentiellement intéressés, attente confirmation pour fixer rencontre avec Charles. Enrichissement lead impossible (email non valide). Nouvelle piste créée équipe Ventes. Prochaine étape : attente retour client pour RDV.</v>
      </c>
      <c r="I27" s="11" cm="1" t="str">
        <f t="array" ref="I27">IF(C27="","",IF(OR(H27="",H27=0,H27=FALSE),"-",H27))</f>
        <v>05/02/2026 : Infos transmises, clients potentiellement intéressés, attente confirmation pour fixer rencontre avec Charles. Enrichissement lead impossible (email non valide). Nouvelle piste créée équipe Ventes. Prochaine étape : attente retour client pour RDV.</v>
      </c>
      <c r="J27" s="12">
</c>
      <c r="K27" s="9" t="s">
        <v>46</v>
      </c>
      <c r="L27" s="9" cm="1" t="str">
        <f t="array" ref="L27">IF(C27="","",IF(K27="Mort / Plus rien à faire","KO","OK"))</f>
        <v>OK</v>
      </c>
      <c r="M27" s="13">
        <v>46063.515023148146</v>
      </c>
      <c r="N27" s="13" cm="1" t="n">
        <f t="array" ref="N27">IF(OR(C27="",M27="",M27=0),"",M27)</f>
        <v>46063.515023148146</v>
      </c>
      <c r="O27" s="13">
</c>
      <c r="P27" s="13" cm="1" t="str">
        <f t="array" ref="P27">IF(C27="","",IF(OR(O27="",O27=0),"-",O27))</f>
        <v>-</v>
      </c>
      <c r="Q27" s="14">
        <v>0</v>
      </c>
      <c r="R27" s="9" cm="1" t="str">
        <f t="array" ref="R27">IF(C27="","",ROUND(Q27/1000000,3)&amp;" M€")</f>
        <v>0 M€</v>
      </c>
      <c r="S27" s="15">
        <v>20</v>
      </c>
      <c r="T27" s="9" cm="1" t="str">
        <f t="array" ref="T27">IF(C27="","",SUBSTITUTE(S27,"","")&amp;"%")</f>
        <v>20%</v>
      </c>
      <c r="U27" s="11" cm="1" t="str">
        <f t="array" ref="U27">IF(($N27="")*($P27=""),"",IF(($N27&lt;&gt;"")*($N27&gt;TODAY()-9)*($N27&lt;TODAY()+1)*($P27&lt;&gt;"")*($P27&gt;=TODAY())*($P27&lt;=TODAY()+13),"Semaine passée &amp; à venir",IF(($N27&lt;&gt;"")*($N27&gt;TODAY()-9)*($N27&lt;TODAY()+1),"Semaine passée",IF(($P27&lt;&gt;"")*($P27&gt;=TODAY())*($P27&lt;=TODAY()+13),"À venir","Autre"))))</f>
        <v>Autre</v>
      </c>
      <c r="V27" cm="1" t="n">
        <f t="array" ref="V27">IF(C27&lt;&gt;"",1,0)</f>
        <v>1</v>
      </c>
    </row>
    <row r="28" ht="78.75" customHeight="1">
      <c r="A28" s="9" t="s">
        <v>23</v>
      </c>
      <c r="B28" s="9" t="s">
        <v>64</v>
      </c>
      <c r="C28" s="10" t="s">
        <v>106</v>
      </c>
      <c r="D28" s="10" t="s">
        <v>107</v>
      </c>
      <c r="E28" s="9" t="s">
        <v>67</v>
      </c>
      <c r="F28" s="12" t="s">
        <v>108</v>
      </c>
      <c r="G28" s="11" cm="1" t="str">
        <f t="array" ref="G28">IF(F28="","",SUBSTITUTE(SUBSTITUTE(SUBSTITUTE(SUBSTITUTE(F28,"&lt;li&gt;",CHAR(10)),"&lt;/li&gt;",""),"&lt;br&gt;",CHAR(10)),"&lt;strong&gt;",""))</f>
        <v>&lt;p&gt;RDV le 16 mars à Bourrienne pour revue d'activités, mention du quantique en plus de geodesic. Suivi à faire sur co-investissement Expansion/CECAZ, attente instruction Expansion. Pas de retour prospect sur fonds présentés. Prochaine étape : suivre instruction Expansion, deadline 26/03.&lt;/p&gt;</v>
      </c>
      <c r="H28" s="11" cm="1" t="str">
        <f t="array" ref="H28">IF(G28="","",SUBSTITUTE(SUBSTITUTE(SUBSTITUTE(SUBSTITUTE(SUBSTITUTE(G28,"&lt;p&gt;",""),"&lt;/p&gt;",""),"&lt;ul&gt;",""),"&lt;/ul&gt;",""),"&lt;/strong&gt;",""))</f>
        <v>RDV le 16 mars à Bourrienne pour revue d'activités, mention du quantique en plus de geodesic. Suivi à faire sur co-investissement Expansion/CECAZ, attente instruction Expansion. Pas de retour prospect sur fonds présentés. Prochaine étape : suivre instruction Expansion, deadline 26/03.</v>
      </c>
      <c r="I28" s="11" cm="1" t="str">
        <f t="array" ref="I28">IF(C28="","",IF(OR(H28="",H28=0,H28=FALSE),"-",H28))</f>
        <v>RDV le 16 mars à Bourrienne pour revue d'activités, mention du quantique en plus de geodesic. Suivi à faire sur co-investissement Expansion/CECAZ, attente instruction Expansion. Pas de retour prospect sur fonds présentés. Prochaine étape : suivre instruction Expansion, deadline 26/03.</v>
      </c>
      <c r="J28" s="12" t="s">
        <v>109</v>
      </c>
      <c r="K28" s="9" t="s">
        <v>69</v>
      </c>
      <c r="L28" s="9" cm="1" t="str">
        <f t="array" ref="L28">IF(C28="","",IF(K28="Mort / Plus rien à faire","KO","OK"))</f>
        <v>OK</v>
      </c>
      <c r="M28" s="13">
        <v>46129.540983796294</v>
      </c>
      <c r="N28" s="13" cm="1" t="n">
        <f t="array" ref="N28">IF(OR(C28="",M28="",M28=0),"",M28)</f>
        <v>46129.540983796294</v>
      </c>
      <c r="O28" s="13">
</c>
      <c r="P28" s="13" cm="1" t="str">
        <f t="array" ref="P28">IF(C28="","",IF(OR(O28="",O28=0),"-",O28))</f>
        <v>-</v>
      </c>
      <c r="Q28" s="14">
        <v>0</v>
      </c>
      <c r="R28" s="9" cm="1" t="str">
        <f t="array" ref="R28">IF(C28="","",ROUND(Q28/1000000,3)&amp;" M€")</f>
        <v>0 M€</v>
      </c>
      <c r="S28" s="15">
        <v>10</v>
      </c>
      <c r="T28" s="9" cm="1" t="str">
        <f t="array" ref="T28">IF(C28="","",SUBSTITUTE(S28,"","")&amp;"%")</f>
        <v>10%</v>
      </c>
      <c r="U28" s="11" cm="1" t="str">
        <f t="array" ref="U28">IF(($N28="")*($P28=""),"",IF(($N28&lt;&gt;"")*($N28&gt;TODAY()-9)*($N28&lt;TODAY()+1)*($P28&lt;&gt;"")*($P28&gt;=TODAY())*($P28&lt;=TODAY()+13),"Semaine passée &amp; à venir",IF(($N28&lt;&gt;"")*($N28&gt;TODAY()-9)*($N28&lt;TODAY()+1),"Semaine passée",IF(($P28&lt;&gt;"")*($P28&gt;=TODAY())*($P28&lt;=TODAY()+13),"À venir","Autre"))))</f>
        <v>Autre</v>
      </c>
      <c r="V28" cm="1" t="n">
        <f t="array" ref="V28">IF(C28&lt;&gt;"",1,0)</f>
        <v>1</v>
      </c>
    </row>
    <row r="29" ht="78.75" customHeight="1">
      <c r="A29" s="9" t="s">
        <v>23</v>
      </c>
      <c r="B29" s="9" t="s">
        <v>31</v>
      </c>
      <c r="C29" s="10" t="s">
        <v>110</v>
      </c>
      <c r="D29" s="10" t="s">
        <v>111</v>
      </c>
      <c r="E29" s="9" t="s">
        <v>26</v>
      </c>
      <c r="F29" s="12" t="s">
        <v>112</v>
      </c>
      <c r="G29" s="11" cm="1" t="str">
        <f t="array" ref="G29">IF(F29="","",SUBSTITUTE(SUBSTITUTE(SUBSTITUTE(SUBSTITUTE(F29,"&lt;li&gt;",CHAR(10)),"&lt;/li&gt;",""),"&lt;br&gt;",CHAR(10)),"&lt;strong&gt;",""))</f>
        <v>&lt;p&gt;Piste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v>
      </c>
      <c r="H29" s="11" cm="1" t="str">
        <f t="array" ref="H29">IF(G29="","",SUBSTITUTE(SUBSTITUTE(SUBSTITUTE(SUBSTITUTE(SUBSTITUTE(G29,"&lt;p&gt;",""),"&lt;/p&gt;",""),"&lt;ul&gt;",""),"&lt;/ul&gt;",""),"&lt;/strong&gt;",""))</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I29" s="11" cm="1" t="str">
        <f t="array" ref="I29">IF(C29="","",IF(OR(H29="",H29=0,H29=FALSE),"-",H29))</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J29" s="12">
</c>
      <c r="K29" s="9" t="s">
        <v>46</v>
      </c>
      <c r="L29" s="9" cm="1" t="str">
        <f t="array" ref="L29">IF(C29="","",IF(K29="Mort / Plus rien à faire","KO","OK"))</f>
        <v>OK</v>
      </c>
      <c r="M29" s="13">
        <v>46050.6997337963</v>
      </c>
      <c r="N29" s="13" cm="1" t="n">
        <f t="array" ref="N29">IF(OR(C29="",M29="",M29=0),"",M29)</f>
        <v>46050.6997337963</v>
      </c>
      <c r="O29" s="13">
</c>
      <c r="P29" s="13" cm="1" t="str">
        <f t="array" ref="P29">IF(C29="","",IF(OR(O29="",O29=0),"-",O29))</f>
        <v>-</v>
      </c>
      <c r="Q29" s="14">
        <v>0</v>
      </c>
      <c r="R29" s="9" cm="1" t="str">
        <f t="array" ref="R29">IF(C29="","",ROUND(Q29/1000000,3)&amp;" M€")</f>
        <v>0 M€</v>
      </c>
      <c r="S29" s="15">
        <v>10</v>
      </c>
      <c r="T29" s="9" cm="1" t="str">
        <f t="array" ref="T29">IF(C29="","",SUBSTITUTE(S29,"","")&amp;"%")</f>
        <v>10%</v>
      </c>
      <c r="U29" s="11" cm="1" t="str">
        <f t="array" ref="U29">IF(($N29="")*($P29=""),"",IF(($N29&lt;&gt;"")*($N29&gt;TODAY()-9)*($N29&lt;TODAY()+1)*($P29&lt;&gt;"")*($P29&gt;=TODAY())*($P29&lt;=TODAY()+13),"Semaine passée &amp; à venir",IF(($N29&lt;&gt;"")*($N29&gt;TODAY()-9)*($N29&lt;TODAY()+1),"Semaine passée",IF(($P29&lt;&gt;"")*($P29&gt;=TODAY())*($P29&lt;=TODAY()+13),"À venir","Autre"))))</f>
        <v>Autre</v>
      </c>
      <c r="V29" cm="1" t="n">
        <f t="array" ref="V29">IF(C29&lt;&gt;"",1,0)</f>
        <v>1</v>
      </c>
    </row>
    <row r="30" ht="78.75" customHeight="1">
      <c r="A30" s="9" t="s">
        <v>23</v>
      </c>
      <c r="B30" s="9" t="s">
        <v>37</v>
      </c>
      <c r="C30" s="10" t="s">
        <v>113</v>
      </c>
      <c r="D30" s="10" t="s">
        <v>114</v>
      </c>
      <c r="E30" s="9" t="s">
        <v>26</v>
      </c>
      <c r="F30" s="12" t="s">
        <v>115</v>
      </c>
      <c r="G30" s="11" cm="1" t="str">
        <f t="array" ref="G30">IF(F30="","",SUBSTITUTE(SUBSTITUTE(SUBSTITUTE(SUBSTITUTE(F30,"&lt;li&gt;",CHAR(10)),"&lt;/li&gt;",""),"&lt;br&gt;",CHAR(10)),"&lt;strong&gt;",""))</f>
        <v>&lt;p&gt;Point fonds deeptech et remploi clients évoqué 28/01. Tentative enrichissement lead échouée (email invalide). Nouvelle piste créée équipe Ventes. Pas d'activité ou d'échange prospect/équipe détecté depuis, ni prochaines étapes identifiées.&lt;/p&gt;</v>
      </c>
      <c r="H30" s="11" cm="1" t="str">
        <f t="array" ref="H30">IF(G30="","",SUBSTITUTE(SUBSTITUTE(SUBSTITUTE(SUBSTITUTE(SUBSTITUTE(G30,"&lt;p&gt;",""),"&lt;/p&gt;",""),"&lt;ul&gt;",""),"&lt;/ul&gt;",""),"&lt;/strong&gt;",""))</f>
        <v>Point fonds deeptech et remploi clients évoqué 28/01. Tentative enrichissement lead échouée (email invalide). Nouvelle piste créée équipe Ventes. Pas d'activité ou d'échange prospect/équipe détecté depuis, ni prochaines étapes identifiées.</v>
      </c>
      <c r="I30" s="11" cm="1" t="str">
        <f t="array" ref="I30">IF(C30="","",IF(OR(H30="",H30=0,H30=FALSE),"-",H30))</f>
        <v>Point fonds deeptech et remploi clients évoqué 28/01. Tentative enrichissement lead échouée (email invalide). Nouvelle piste créée équipe Ventes. Pas d'activité ou d'échange prospect/équipe détecté depuis, ni prochaines étapes identifiées.</v>
      </c>
      <c r="J30" s="12">
</c>
      <c r="K30" s="9" t="s">
        <v>46</v>
      </c>
      <c r="L30" s="9" cm="1" t="str">
        <f t="array" ref="L30">IF(C30="","",IF(K30="Mort / Plus rien à faire","KO","OK"))</f>
        <v>OK</v>
      </c>
      <c r="M30" s="13">
        <v>46050.695381944446</v>
      </c>
      <c r="N30" s="13" cm="1" t="n">
        <f t="array" ref="N30">IF(OR(C30="",M30="",M30=0),"",M30)</f>
        <v>46050.695381944446</v>
      </c>
      <c r="O30" s="13">
</c>
      <c r="P30" s="13" cm="1" t="str">
        <f t="array" ref="P30">IF(C30="","",IF(OR(O30="",O30=0),"-",O30))</f>
        <v>-</v>
      </c>
      <c r="Q30" s="14">
        <v>0</v>
      </c>
      <c r="R30" s="9" cm="1" t="str">
        <f t="array" ref="R30">IF(C30="","",ROUND(Q30/1000000,3)&amp;" M€")</f>
        <v>0 M€</v>
      </c>
      <c r="S30" s="15">
        <v>10</v>
      </c>
      <c r="T30" s="9" cm="1" t="str">
        <f t="array" ref="T30">IF(C30="","",SUBSTITUTE(S30,"","")&amp;"%")</f>
        <v>10%</v>
      </c>
      <c r="U30" s="11" cm="1" t="str">
        <f t="array" ref="U30">IF(($N30="")*($P30=""),"",IF(($N30&lt;&gt;"")*($N30&gt;TODAY()-9)*($N30&lt;TODAY()+1)*($P30&lt;&gt;"")*($P30&gt;=TODAY())*($P30&lt;=TODAY()+13),"Semaine passée &amp; à venir",IF(($N30&lt;&gt;"")*($N30&gt;TODAY()-9)*($N30&lt;TODAY()+1),"Semaine passée",IF(($P30&lt;&gt;"")*($P30&gt;=TODAY())*($P30&lt;=TODAY()+13),"À venir","Autre"))))</f>
        <v>Autre</v>
      </c>
      <c r="V30" cm="1" t="n">
        <f t="array" ref="V30">IF(C30&lt;&gt;"",1,0)</f>
        <v>1</v>
      </c>
    </row>
    <row r="31" ht="78.75" customHeight="1">
      <c r="A31" s="9" t="s">
        <v>23</v>
      </c>
      <c r="B31" s="9" t="s">
        <v>64</v>
      </c>
      <c r="C31" s="10" t="s">
        <v>116</v>
      </c>
      <c r="D31" s="10" t="s">
        <v>117</v>
      </c>
      <c r="E31" s="9" t="s">
        <v>67</v>
      </c>
      <c r="F31" s="12" t="s">
        <v>118</v>
      </c>
      <c r="G31" s="11" cm="1" t="str">
        <f t="array" ref="G31">IF(F31="","",SUBSTITUTE(SUBSTITUTE(SUBSTITUTE(SUBSTITUTE(F31,"&lt;li&gt;",CHAR(10)),"&lt;/li&gt;",""),"&lt;br&gt;",CHAR(10)),"&lt;strong&gt;",""))</f>
        <v>&lt;p&gt;RDV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présenter.&lt;/p&gt;</v>
      </c>
      <c r="H31" s="11" cm="1" t="str">
        <f t="array" ref="H31">IF(G31="","",SUBSTITUTE(SUBSTITUTE(SUBSTITUTE(SUBSTITUTE(SUBSTITUTE(G31,"&lt;p&gt;",""),"&lt;/p&gt;",""),"&lt;ul&gt;",""),"&lt;/ul&gt;",""),"&lt;/strong&gt;",""))</f>
        <v>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v>
      </c>
      <c r="I31" s="11" cm="1" t="str">
        <f t="array" ref="I31">IF(C31="","",IF(OR(H31="",H31=0,H31=FALSE),"-",H31))</f>
        <v>RDV de prep conf du 9/04, envoi à Jefferies de 5-6 sociétés (Latitude, Univity, ReOrbit, Atmos, Alta Ares, Dcubed) pour témoignages event Growth. Focus levées UK, témoignages Charles/Ted à Londres. Prochaine étape&amp;nbsp;: suivi témoignages, levées à Londres, sélection sociétés à présenter.</v>
      </c>
      <c r="J31" s="12" t="s">
        <v>119</v>
      </c>
      <c r="K31" s="9" t="s">
        <v>69</v>
      </c>
      <c r="L31" s="9" cm="1" t="str">
        <f t="array" ref="L31">IF(C31="","",IF(K31="Mort / Plus rien à faire","KO","OK"))</f>
        <v>OK</v>
      </c>
      <c r="M31" s="13">
        <v>46129.750868055555</v>
      </c>
      <c r="N31" s="13" cm="1" t="n">
        <f t="array" ref="N31">IF(OR(C31="",M31="",M31=0),"",M31)</f>
        <v>46129.750868055555</v>
      </c>
      <c r="O31" s="13">
</c>
      <c r="P31" s="13" cm="1" t="str">
        <f t="array" ref="P31">IF(C31="","",IF(OR(O31="",O31=0),"-",O31))</f>
        <v>-</v>
      </c>
      <c r="Q31" s="14">
        <v>0</v>
      </c>
      <c r="R31" s="9" cm="1" t="str">
        <f t="array" ref="R31">IF(C31="","",ROUND(Q31/1000000,3)&amp;" M€")</f>
        <v>0 M€</v>
      </c>
      <c r="S31" s="15">
        <v>10</v>
      </c>
      <c r="T31" s="9" cm="1" t="str">
        <f t="array" ref="T31">IF(C31="","",SUBSTITUTE(S31,"","")&amp;"%")</f>
        <v>10%</v>
      </c>
      <c r="U31" s="11" cm="1" t="str">
        <f t="array" ref="U31">IF(($N31="")*($P31=""),"",IF(($N31&lt;&gt;"")*($N31&gt;TODAY()-9)*($N31&lt;TODAY()+1)*($P31&lt;&gt;"")*($P31&gt;=TODAY())*($P31&lt;=TODAY()+13),"Semaine passée &amp; à venir",IF(($N31&lt;&gt;"")*($N31&gt;TODAY()-9)*($N31&lt;TODAY()+1),"Semaine passée",IF(($P31&lt;&gt;"")*($P31&gt;=TODAY())*($P31&lt;=TODAY()+13),"À venir","Autre"))))</f>
        <v>Autre</v>
      </c>
      <c r="V31" cm="1" t="n">
        <f t="array" ref="V31">IF(C31&lt;&gt;"",1,0)</f>
        <v>1</v>
      </c>
    </row>
    <row r="32" ht="78.75" customHeight="1">
      <c r="A32" s="9" t="s">
        <v>23</v>
      </c>
      <c r="B32" s="9" t="s">
        <v>102</v>
      </c>
      <c r="C32" s="10" t="s">
        <v>120</v>
      </c>
      <c r="D32" s="10" t="s">
        <v>121</v>
      </c>
      <c r="E32" s="9" t="s">
        <v>26</v>
      </c>
      <c r="F32" s="12" t="s">
        <v>122</v>
      </c>
      <c r="G32" s="11" cm="1" t="str">
        <f t="array" ref="G32">IF(F32="","",SUBSTITUTE(SUBSTITUTE(SUBSTITUTE(SUBSTITUTE(F32,"&lt;li&gt;",CHAR(10)),"&lt;/li&gt;",""),"&lt;br&gt;",CHAR(10)),"&lt;strong&gt;",""))</f>
        <v>&lt;p&gt;Piste créée pour équipe Ventes. Appel du 06/03&amp;nbsp;: prospect a des besoins sur 150-0 B ter, RDV tel sur offre actuelle, retour attendu si intérêt clients. Relance mail 30/03 pour prise d'intérêt sur client en remploi. Prochaine étape&amp;nbsp;: attente retour prospect.&lt;/p&gt;</v>
      </c>
      <c r="H32" s="11" cm="1" t="str">
        <f t="array" ref="H32">IF(G32="","",SUBSTITUTE(SUBSTITUTE(SUBSTITUTE(SUBSTITUTE(SUBSTITUTE(G32,"&lt;p&gt;",""),"&lt;/p&gt;",""),"&lt;ul&gt;",""),"&lt;/ul&gt;",""),"&lt;/strong&gt;",""))</f>
        <v>Piste créée pour équipe Ventes. Appel du 06/03&amp;nbsp;: prospect a des besoins sur 150-0 B ter, RDV tel sur offre actuelle, retour attendu si intérêt clients. Relance mail 30/03 pour prise d'intérêt sur client en remploi. Prochaine étape&amp;nbsp;: attente retour prospect.</v>
      </c>
      <c r="I32" s="11" cm="1" t="str">
        <f t="array" ref="I32">IF(C32="","",IF(OR(H32="",H32=0,H32=FALSE),"-",H32))</f>
        <v>Piste créée pour équipe Ventes. Appel du 06/03&amp;nbsp;: prospect a des besoins sur 150-0 B ter, RDV tel sur offre actuelle, retour attendu si intérêt clients. Relance mail 30/03 pour prise d'intérêt sur client en remploi. Prochaine étape&amp;nbsp;: attente retour prospect.</v>
      </c>
      <c r="J32" s="12">
</c>
      <c r="K32" s="9" t="s">
        <v>46</v>
      </c>
      <c r="L32" s="9" cm="1" t="str">
        <f t="array" ref="L32">IF(C32="","",IF(K32="Mort / Plus rien à faire","KO","OK"))</f>
        <v>OK</v>
      </c>
      <c r="M32" s="13">
        <v>46111.48504629629</v>
      </c>
      <c r="N32" s="13" cm="1" t="n">
        <f t="array" ref="N32">IF(OR(C32="",M32="",M32=0),"",M32)</f>
        <v>46111.48504629629</v>
      </c>
      <c r="O32" s="13">
</c>
      <c r="P32" s="13" cm="1" t="str">
        <f t="array" ref="P32">IF(C32="","",IF(OR(O32="",O32=0),"-",O32))</f>
        <v>-</v>
      </c>
      <c r="Q32" s="14">
        <v>0</v>
      </c>
      <c r="R32" s="9" cm="1" t="str">
        <f t="array" ref="R32">IF(C32="","",ROUND(Q32/1000000,3)&amp;" M€")</f>
        <v>0 M€</v>
      </c>
      <c r="S32" s="15">
        <v>10</v>
      </c>
      <c r="T32" s="9" cm="1" t="str">
        <f t="array" ref="T32">IF(C32="","",SUBSTITUTE(S32,"","")&amp;"%")</f>
        <v>10%</v>
      </c>
      <c r="U32" s="11" cm="1" t="str">
        <f t="array" ref="U32">IF(($N32="")*($P32=""),"",IF(($N32&lt;&gt;"")*($N32&gt;TODAY()-9)*($N32&lt;TODAY()+1)*($P32&lt;&gt;"")*($P32&gt;=TODAY())*($P32&lt;=TODAY()+13),"Semaine passée &amp; à venir",IF(($N32&lt;&gt;"")*($N32&gt;TODAY()-9)*($N32&lt;TODAY()+1),"Semaine passée",IF(($P32&lt;&gt;"")*($P32&gt;=TODAY())*($P32&lt;=TODAY()+13),"À venir","Autre"))))</f>
        <v>Autre</v>
      </c>
      <c r="V32" cm="1" t="n">
        <f t="array" ref="V32">IF(C32&lt;&gt;"",1,0)</f>
        <v>1</v>
      </c>
    </row>
    <row r="33" ht="78.75" customHeight="1">
      <c r="A33" s="9" t="s">
        <v>23</v>
      </c>
      <c r="B33" s="9" t="s">
        <v>102</v>
      </c>
      <c r="C33" s="10" t="s">
        <v>123</v>
      </c>
      <c r="D33" s="10" t="s">
        <v>124</v>
      </c>
      <c r="E33" s="9" t="s">
        <v>26</v>
      </c>
      <c r="F33" s="12" t="s">
        <v>125</v>
      </c>
      <c r="G33" s="11" cm="1" t="str">
        <f t="array" ref="G33">IF(F33="","",SUBSTITUTE(SUBSTITUTE(SUBSTITUTE(SUBSTITUTE(F33,"&lt;li&gt;",CHAR(10)),"&lt;/li&gt;",""),"&lt;br&gt;",CHAR(10)),"&lt;strong&gt;",""))</f>
        <v>&lt;p&gt;Projet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v>
      </c>
      <c r="H33" s="11" cm="1" t="str">
        <f t="array" ref="H33">IF(G33="","",SUBSTITUTE(SUBSTITUTE(SUBSTITUTE(SUBSTITUTE(SUBSTITUTE(G33,"&lt;p&gt;",""),"&lt;/p&gt;",""),"&lt;ul&gt;",""),"&lt;/ul&gt;",""),"&lt;/strong&gt;",""))</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I33" s="11" cm="1" t="str">
        <f t="array" ref="I33">IF(C33="","",IF(OR(H33="",H33=0,H33=FALSE),"-",H33))</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J33" s="12">
</c>
      <c r="K33" s="9" t="s">
        <v>46</v>
      </c>
      <c r="L33" s="9" cm="1" t="str">
        <f t="array" ref="L33">IF(C33="","",IF(K33="Mort / Plus rien à faire","KO","OK"))</f>
        <v>OK</v>
      </c>
      <c r="M33" s="13">
        <v>46050.68782407408</v>
      </c>
      <c r="N33" s="13" cm="1" t="n">
        <f t="array" ref="N33">IF(OR(C33="",M33="",M33=0),"",M33)</f>
        <v>46050.68782407408</v>
      </c>
      <c r="O33" s="13">
</c>
      <c r="P33" s="13" cm="1" t="str">
        <f t="array" ref="P33">IF(C33="","",IF(OR(O33="",O33=0),"-",O33))</f>
        <v>-</v>
      </c>
      <c r="Q33" s="14">
        <v>0</v>
      </c>
      <c r="R33" s="9" cm="1" t="str">
        <f t="array" ref="R33">IF(C33="","",ROUND(Q33/1000000,3)&amp;" M€")</f>
        <v>0 M€</v>
      </c>
      <c r="S33" s="15">
        <v>10</v>
      </c>
      <c r="T33" s="9" cm="1" t="str">
        <f t="array" ref="T33">IF(C33="","",SUBSTITUTE(S33,"","")&amp;"%")</f>
        <v>10%</v>
      </c>
      <c r="U33" s="11" cm="1" t="str">
        <f t="array" ref="U33">IF(($N33="")*($P33=""),"",IF(($N33&lt;&gt;"")*($N33&gt;TODAY()-9)*($N33&lt;TODAY()+1)*($P33&lt;&gt;"")*($P33&gt;=TODAY())*($P33&lt;=TODAY()+13),"Semaine passée &amp; à venir",IF(($N33&lt;&gt;"")*($N33&gt;TODAY()-9)*($N33&lt;TODAY()+1),"Semaine passée",IF(($P33&lt;&gt;"")*($P33&gt;=TODAY())*($P33&lt;=TODAY()+13),"À venir","Autre"))))</f>
        <v>Autre</v>
      </c>
      <c r="V33" cm="1" t="n">
        <f t="array" ref="V33">IF(C33&lt;&gt;"",1,0)</f>
        <v>1</v>
      </c>
    </row>
    <row r="34" ht="78.75" customHeight="1">
      <c r="A34" s="9" t="s">
        <v>23</v>
      </c>
      <c r="B34" s="9" t="s">
        <v>126</v>
      </c>
      <c r="C34" s="10" t="s">
        <v>127</v>
      </c>
      <c r="D34" s="10" t="s">
        <v>128</v>
      </c>
      <c r="E34" s="9" t="s">
        <v>67</v>
      </c>
      <c r="F34" s="12" t="s">
        <v>129</v>
      </c>
      <c r="G34" s="11" cm="1" t="str">
        <f t="array" ref="G34">IF(F34="","",SUBSTITUTE(SUBSTITUTE(SUBSTITUTE(SUBSTITUTE(F34,"&lt;li&gt;",CHAR(10)),"&lt;/li&gt;",""),"&lt;br&gt;",CHAR(10)),"&lt;strong&gt;",""))</f>
        <v>&lt;p&gt;Déjeuner 10/03 avec edilia.gaenz@fedora-circle.com (dossier Cérélia). Dernier échange : relancer Stephane sur fonds de fonds. Prochaine action : relance Stephane avant 20/03. Pas de retour prospect sur fonds. Création piste pour équipe Ventes. Aucun avis prospect sur fonds mentionné.&lt;/p&gt;</v>
      </c>
      <c r="H34" s="11" cm="1" t="str">
        <f t="array" ref="H34">IF(G34="","",SUBSTITUTE(SUBSTITUTE(SUBSTITUTE(SUBSTITUTE(SUBSTITUTE(G34,"&lt;p&gt;",""),"&lt;/p&gt;",""),"&lt;ul&gt;",""),"&lt;/ul&gt;",""),"&lt;/strong&gt;",""))</f>
        <v>Déjeuner 10/03 avec edilia.gaenz@fedora-circle.com (dossier Cérélia). Dernier échange : relancer Stephane sur fonds de fonds. Prochaine action : relance Stephane avant 20/03. Pas de retour prospect sur fonds. Création piste pour équipe Ventes. Aucun avis prospect sur fonds mentionné.</v>
      </c>
      <c r="I34" s="11" cm="1" t="str">
        <f t="array" ref="I34">IF(C34="","",IF(OR(H34="",H34=0,H34=FALSE),"-",H34))</f>
        <v>Déjeuner 10/03 avec edilia.gaenz@fedora-circle.com (dossier Cérélia). Dernier échange : relancer Stephane sur fonds de fonds. Prochaine action : relance Stephane avant 20/03. Pas de retour prospect sur fonds. Création piste pour équipe Ventes. Aucun avis prospect sur fonds mentionné.</v>
      </c>
      <c r="J34" s="12" t="s">
        <v>130</v>
      </c>
      <c r="K34" s="9" t="s">
        <v>69</v>
      </c>
      <c r="L34" s="9" cm="1" t="str">
        <f t="array" ref="L34">IF(C34="","",IF(K34="Mort / Plus rien à faire","KO","OK"))</f>
        <v>OK</v>
      </c>
      <c r="M34" s="13">
        <v>46135.807650462964</v>
      </c>
      <c r="N34" s="13" cm="1" t="n">
        <f t="array" ref="N34">IF(OR(C34="",M34="",M34=0),"",M34)</f>
        <v>46135.807650462964</v>
      </c>
      <c r="O34" s="13">
</c>
      <c r="P34" s="13" cm="1" t="str">
        <f t="array" ref="P34">IF(C34="","",IF(OR(O34="",O34=0),"-",O34))</f>
        <v>-</v>
      </c>
      <c r="Q34" s="14">
        <v>0</v>
      </c>
      <c r="R34" s="9" cm="1" t="str">
        <f t="array" ref="R34">IF(C34="","",ROUND(Q34/1000000,3)&amp;" M€")</f>
        <v>0 M€</v>
      </c>
      <c r="S34" s="15">
        <v>10</v>
      </c>
      <c r="T34" s="9" cm="1" t="str">
        <f t="array" ref="T34">IF(C34="","",SUBSTITUTE(S34,"","")&amp;"%")</f>
        <v>10%</v>
      </c>
      <c r="U34" s="11" cm="1" t="str">
        <f t="array" ref="U34">IF(($N34="")*($P34=""),"",IF(($N34&lt;&gt;"")*($N34&gt;TODAY()-9)*($N34&lt;TODAY()+1)*($P34&lt;&gt;"")*($P34&gt;=TODAY())*($P34&lt;=TODAY()+13),"Semaine passée &amp; à venir",IF(($N34&lt;&gt;"")*($N34&gt;TODAY()-9)*($N34&lt;TODAY()+1),"Semaine passée",IF(($P34&lt;&gt;"")*($P34&gt;=TODAY())*($P34&lt;=TODAY()+13),"À venir","Autre"))))</f>
        <v>Autre</v>
      </c>
      <c r="V34" cm="1" t="n">
        <f t="array" ref="V34">IF(C34&lt;&gt;"",1,0)</f>
        <v>1</v>
      </c>
    </row>
    <row r="35" ht="78.75" customHeight="1">
      <c r="A35" s="9" t="s">
        <v>23</v>
      </c>
      <c r="B35" s="9" t="s">
        <v>31</v>
      </c>
      <c r="C35" s="10" t="s">
        <v>131</v>
      </c>
      <c r="D35" s="10" t="s">
        <v>132</v>
      </c>
      <c r="E35" s="9" t="s">
        <v>26</v>
      </c>
      <c r="F35" s="12" t="s">
        <v>133</v>
      </c>
      <c r="G35" s="11" cm="1" t="str">
        <f t="array" ref="G35">IF(F35="","",SUBSTITUTE(SUBSTITUTE(SUBSTITUTE(SUBSTITUTE(F35,"&lt;li&gt;",CHAR(10)),"&lt;/li&gt;",""),"&lt;br&gt;",CHAR(10)),"&lt;strong&gt;",""))</f>
        <v>&lt;p&gt;Piste OUTMATCH INVEST créée équipe Ventes 28/01. Intérêt souverain noté, pas d'autres échanges ou actions menées. Enrichissement lead impossible (email non valide). Aucune activité ni prochaine étape identifiée à ce jour, pas de retour prospect sur fonds présentés.&lt;/p&gt;</v>
      </c>
      <c r="H35" s="11" cm="1" t="str">
        <f t="array" ref="H35">IF(G35="","",SUBSTITUTE(SUBSTITUTE(SUBSTITUTE(SUBSTITUTE(SUBSTITUTE(G35,"&lt;p&gt;",""),"&lt;/p&gt;",""),"&lt;ul&gt;",""),"&lt;/ul&gt;",""),"&lt;/strong&gt;",""))</f>
        <v>Piste OUTMATCH INVEST créée équipe Ventes 28/01. Intérêt souverain noté, pas d'autres échanges ou actions menées. Enrichissement lead impossible (email non valide). Aucune activité ni prochaine étape identifiée à ce jour, pas de retour prospect sur fonds présentés.</v>
      </c>
      <c r="I35" s="11" cm="1" t="str">
        <f t="array" ref="I35">IF(C35="","",IF(OR(H35="",H35=0,H35=FALSE),"-",H35))</f>
        <v>Piste OUTMATCH INVEST créée équipe Ventes 28/01. Intérêt souverain noté, pas d'autres échanges ou actions menées. Enrichissement lead impossible (email non valide). Aucune activité ni prochaine étape identifiée à ce jour, pas de retour prospect sur fonds présentés.</v>
      </c>
      <c r="J35" s="12">
</c>
      <c r="K35" s="9" t="s">
        <v>46</v>
      </c>
      <c r="L35" s="9" cm="1" t="str">
        <f t="array" ref="L35">IF(C35="","",IF(K35="Mort / Plus rien à faire","KO","OK"))</f>
        <v>OK</v>
      </c>
      <c r="M35" s="13">
        <v>46050.68449074074</v>
      </c>
      <c r="N35" s="13" cm="1" t="n">
        <f t="array" ref="N35">IF(OR(C35="",M35="",M35=0),"",M35)</f>
        <v>46050.68449074074</v>
      </c>
      <c r="O35" s="13">
</c>
      <c r="P35" s="13" cm="1" t="str">
        <f t="array" ref="P35">IF(C35="","",IF(OR(O35="",O35=0),"-",O35))</f>
        <v>-</v>
      </c>
      <c r="Q35" s="14">
        <v>0</v>
      </c>
      <c r="R35" s="9" cm="1" t="str">
        <f t="array" ref="R35">IF(C35="","",ROUND(Q35/1000000,3)&amp;" M€")</f>
        <v>0 M€</v>
      </c>
      <c r="S35" s="15">
        <v>10</v>
      </c>
      <c r="T35" s="9" cm="1" t="str">
        <f t="array" ref="T35">IF(C35="","",SUBSTITUTE(S35,"","")&amp;"%")</f>
        <v>10%</v>
      </c>
      <c r="U35" s="11" cm="1" t="str">
        <f t="array" ref="U35">IF(($N35="")*($P35=""),"",IF(($N35&lt;&gt;"")*($N35&gt;TODAY()-9)*($N35&lt;TODAY()+1)*($P35&lt;&gt;"")*($P35&gt;=TODAY())*($P35&lt;=TODAY()+13),"Semaine passée &amp; à venir",IF(($N35&lt;&gt;"")*($N35&gt;TODAY()-9)*($N35&lt;TODAY()+1),"Semaine passée",IF(($P35&lt;&gt;"")*($P35&gt;=TODAY())*($P35&lt;=TODAY()+13),"À venir","Autre"))))</f>
        <v>Autre</v>
      </c>
      <c r="V35" cm="1" t="n">
        <f t="array" ref="V35">IF(C35&lt;&gt;"",1,0)</f>
        <v>1</v>
      </c>
    </row>
    <row r="36" ht="78.75" customHeight="1">
      <c r="A36" s="9" t="s">
        <v>23</v>
      </c>
      <c r="B36" s="9" t="s">
        <v>64</v>
      </c>
      <c r="C36" s="10" t="s">
        <v>134</v>
      </c>
      <c r="D36" s="10" t="s">
        <v>135</v>
      </c>
      <c r="E36" s="9" t="s">
        <v>67</v>
      </c>
      <c r="F36" s="12" t="s">
        <v>136</v>
      </c>
      <c r="G36" s="11" cm="1" t="str">
        <f t="array" ref="G36">IF(F36="","",SUBSTITUTE(SUBSTITUTE(SUBSTITUTE(SUBSTITUTE(F36,"&lt;li&gt;",CHAR(10)),"&lt;/li&gt;",""),"&lt;br&gt;",CHAR(10)),"&lt;strong&gt;",""))</f>
        <v>&lt;p&gt;RDV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v>
      </c>
      <c r="H36" s="11" cm="1" t="str">
        <f t="array" ref="H36">IF(G36="","",SUBSTITUTE(SUBSTITUTE(SUBSTITUTE(SUBSTITUTE(SUBSTITUTE(G36,"&lt;p&gt;",""),"&lt;/p&gt;",""),"&lt;ul&gt;",""),"&lt;/ul&gt;",""),"&lt;/strong&gt;",""))</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I36" s="11" cm="1" t="str">
        <f t="array" ref="I36">IF(C36="","",IF(OR(H36="",H36=0,H36=FALSE),"-",H36))</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J36" s="12" t="s">
        <v>137</v>
      </c>
      <c r="K36" s="9" t="s">
        <v>69</v>
      </c>
      <c r="L36" s="9" cm="1" t="str">
        <f t="array" ref="L36">IF(C36="","",IF(K36="Mort / Plus rien à faire","KO","OK"))</f>
        <v>OK</v>
      </c>
      <c r="M36" s="13">
        <v>46114.71658564815</v>
      </c>
      <c r="N36" s="13" cm="1" t="n">
        <f t="array" ref="N36">IF(OR(C36="",M36="",M36=0),"",M36)</f>
        <v>46114.71658564815</v>
      </c>
      <c r="O36" s="13">
</c>
      <c r="P36" s="13" cm="1" t="str">
        <f t="array" ref="P36">IF(C36="","",IF(OR(O36="",O36=0),"-",O36))</f>
        <v>-</v>
      </c>
      <c r="Q36" s="14">
        <v>0</v>
      </c>
      <c r="R36" s="9" cm="1" t="str">
        <f t="array" ref="R36">IF(C36="","",ROUND(Q36/1000000,3)&amp;" M€")</f>
        <v>0 M€</v>
      </c>
      <c r="S36" s="15">
        <v>10</v>
      </c>
      <c r="T36" s="9" cm="1" t="str">
        <f t="array" ref="T36">IF(C36="","",SUBSTITUTE(S36,"","")&amp;"%")</f>
        <v>10%</v>
      </c>
      <c r="U36" s="11" cm="1" t="str">
        <f t="array" ref="U36">IF(($N36="")*($P36=""),"",IF(($N36&lt;&gt;"")*($N36&gt;TODAY()-9)*($N36&lt;TODAY()+1)*($P36&lt;&gt;"")*($P36&gt;=TODAY())*($P36&lt;=TODAY()+13),"Semaine passée &amp; à venir",IF(($N36&lt;&gt;"")*($N36&gt;TODAY()-9)*($N36&lt;TODAY()+1),"Semaine passée",IF(($P36&lt;&gt;"")*($P36&gt;=TODAY())*($P36&lt;=TODAY()+13),"À venir","Autre"))))</f>
        <v>Autre</v>
      </c>
      <c r="V36" cm="1" t="n">
        <f t="array" ref="V36">IF(C36&lt;&gt;"",1,0)</f>
        <v>1</v>
      </c>
    </row>
    <row r="37" ht="78.75" customHeight="1">
      <c r="A37" s="9" t="s">
        <v>23</v>
      </c>
      <c r="B37" s="9" t="s">
        <v>37</v>
      </c>
      <c r="C37" s="10" t="s">
        <v>138</v>
      </c>
      <c r="D37" s="10" t="s">
        <v>139</v>
      </c>
      <c r="E37" s="9" t="s">
        <v>62</v>
      </c>
      <c r="F37" s="12" t="s">
        <v>140</v>
      </c>
      <c r="G37" s="11" cm="1" t="str">
        <f t="array" ref="G37">IF(F37="","",SUBSTITUTE(SUBSTITUTE(SUBSTITUTE(SUBSTITUTE(F37,"&lt;li&gt;",CHAR(10)),"&lt;/li&gt;",""),"&lt;br&gt;",CHAR(10)),"&lt;strong&gt;",""))</f>
        <v>&lt;p&gt;Aucune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v>
      </c>
      <c r="H37" s="11" cm="1" t="str">
        <f t="array" ref="H37">IF(G37="","",SUBSTITUTE(SUBSTITUTE(SUBSTITUTE(SUBSTITUTE(SUBSTITUTE(G37,"&lt;p&gt;",""),"&lt;/p&gt;",""),"&lt;ul&gt;",""),"&lt;/ul&gt;",""),"&lt;/strong&gt;",""))</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I37" s="11" cm="1" t="str">
        <f t="array" ref="I37">IF(C37="","",IF(OR(H37="",H37=0,H37=FALSE),"-",H37))</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J37" s="12">
</c>
      <c r="K37" s="9" t="s">
        <v>69</v>
      </c>
      <c r="L37" s="9" cm="1" t="str">
        <f t="array" ref="L37">IF(C37="","",IF(K37="Mort / Plus rien à faire","KO","OK"))</f>
        <v>OK</v>
      </c>
      <c r="M37" s="13">
        <v>46034.43263888889</v>
      </c>
      <c r="N37" s="13" cm="1" t="n">
        <f t="array" ref="N37">IF(OR(C37="",M37="",M37=0),"",M37)</f>
        <v>46034.43263888889</v>
      </c>
      <c r="O37" s="13">
</c>
      <c r="P37" s="13" cm="1" t="str">
        <f t="array" ref="P37">IF(C37="","",IF(OR(O37="",O37=0),"-",O37))</f>
        <v>-</v>
      </c>
      <c r="Q37" s="14">
        <v>0</v>
      </c>
      <c r="R37" s="9" cm="1" t="str">
        <f t="array" ref="R37">IF(C37="","",ROUND(Q37/1000000,3)&amp;" M€")</f>
        <v>0 M€</v>
      </c>
      <c r="S37" s="15">
        <v>10</v>
      </c>
      <c r="T37" s="9" cm="1" t="str">
        <f t="array" ref="T37">IF(C37="","",SUBSTITUTE(S37,"","")&amp;"%")</f>
        <v>10%</v>
      </c>
      <c r="U37" s="11" cm="1" t="str">
        <f t="array" ref="U37">IF(($N37="")*($P37=""),"",IF(($N37&lt;&gt;"")*($N37&gt;TODAY()-9)*($N37&lt;TODAY()+1)*($P37&lt;&gt;"")*($P37&gt;=TODAY())*($P37&lt;=TODAY()+13),"Semaine passée &amp; à venir",IF(($N37&lt;&gt;"")*($N37&gt;TODAY()-9)*($N37&lt;TODAY()+1),"Semaine passée",IF(($P37&lt;&gt;"")*($P37&gt;=TODAY())*($P37&lt;=TODAY()+13),"À venir","Autre"))))</f>
        <v>Autre</v>
      </c>
      <c r="V37" cm="1" t="n">
        <f t="array" ref="V37">IF(C37&lt;&gt;"",1,0)</f>
        <v>1</v>
      </c>
    </row>
    <row r="38" ht="78.75" customHeight="1">
      <c r="A38" s="9" t="s">
        <v>23</v>
      </c>
      <c r="B38" s="9" t="s">
        <v>47</v>
      </c>
      <c r="C38" s="10" t="s">
        <v>141</v>
      </c>
      <c r="D38" s="10" t="s">
        <v>142</v>
      </c>
      <c r="E38" s="9" t="s">
        <v>26</v>
      </c>
      <c r="F38" s="12" t="s">
        <v>143</v>
      </c>
      <c r="G38" s="11" cm="1" t="str">
        <f t="array" ref="G38">IF(F38="","",SUBSTITUTE(SUBSTITUTE(SUBSTITUTE(SUBSTITUTE(F38,"&lt;li&gt;",CHAR(10)),"&lt;/li&gt;",""),"&lt;br&gt;",CHAR(10)),"&lt;strong&gt;",""))</f>
        <v>&lt;p&gt;Point actu sur fonds deeptech, docs à envoyer pour alimenter. Tentative d'enrichissement lead échouée (email invalide). Nouvelle piste créée pour équipe Ventes. Prochaine étape : envoi de documentation. Pas d'autres actions ou retours prospects mentionnés.&lt;/p&gt;</v>
      </c>
      <c r="H38" s="11" cm="1" t="str">
        <f t="array" ref="H38">IF(G38="","",SUBSTITUTE(SUBSTITUTE(SUBSTITUTE(SUBSTITUTE(SUBSTITUTE(G38,"&lt;p&gt;",""),"&lt;/p&gt;",""),"&lt;ul&gt;",""),"&lt;/ul&gt;",""),"&lt;/strong&gt;",""))</f>
        <v>Point actu sur fonds deeptech, docs à envoyer pour alimenter. Tentative d'enrichissement lead échouée (email invalide). Nouvelle piste créée pour équipe Ventes. Prochaine étape : envoi de documentation. Pas d'autres actions ou retours prospects mentionnés.</v>
      </c>
      <c r="I38" s="11" cm="1" t="str">
        <f t="array" ref="I38">IF(C38="","",IF(OR(H38="",H38=0,H38=FALSE),"-",H38))</f>
        <v>Point actu sur fonds deeptech, docs à envoyer pour alimenter. Tentative d'enrichissement lead échouée (email invalide). Nouvelle piste créée pour équipe Ventes. Prochaine étape : envoi de documentation. Pas d'autres actions ou retours prospects mentionnés.</v>
      </c>
      <c r="J38" s="12">
</c>
      <c r="K38" s="9" t="s">
        <v>46</v>
      </c>
      <c r="L38" s="9" cm="1" t="str">
        <f t="array" ref="L38">IF(C38="","",IF(K38="Mort / Plus rien à faire","KO","OK"))</f>
        <v>OK</v>
      </c>
      <c r="M38" s="13">
        <v>46050.693333333336</v>
      </c>
      <c r="N38" s="13" cm="1" t="n">
        <f t="array" ref="N38">IF(OR(C38="",M38="",M38=0),"",M38)</f>
        <v>46050.693333333336</v>
      </c>
      <c r="O38" s="13">
</c>
      <c r="P38" s="13" cm="1" t="str">
        <f t="array" ref="P38">IF(C38="","",IF(OR(O38="",O38=0),"-",O38))</f>
        <v>-</v>
      </c>
      <c r="Q38" s="14">
        <v>0</v>
      </c>
      <c r="R38" s="9" cm="1" t="str">
        <f t="array" ref="R38">IF(C38="","",ROUND(Q38/1000000,3)&amp;" M€")</f>
        <v>0 M€</v>
      </c>
      <c r="S38" s="15">
        <v>10</v>
      </c>
      <c r="T38" s="9" cm="1" t="str">
        <f t="array" ref="T38">IF(C38="","",SUBSTITUTE(S38,"","")&amp;"%")</f>
        <v>10%</v>
      </c>
      <c r="U38" s="11" cm="1" t="str">
        <f t="array" ref="U38">IF(($N38="")*($P38=""),"",IF(($N38&lt;&gt;"")*($N38&gt;TODAY()-9)*($N38&lt;TODAY()+1)*($P38&lt;&gt;"")*($P38&gt;=TODAY())*($P38&lt;=TODAY()+13),"Semaine passée &amp; à venir",IF(($N38&lt;&gt;"")*($N38&gt;TODAY()-9)*($N38&lt;TODAY()+1),"Semaine passée",IF(($P38&lt;&gt;"")*($P38&gt;=TODAY())*($P38&lt;=TODAY()+13),"À venir","Autre"))))</f>
        <v>Autre</v>
      </c>
      <c r="V38" cm="1" t="n">
        <f t="array" ref="V38">IF(C38&lt;&gt;"",1,0)</f>
        <v>1</v>
      </c>
    </row>
    <row r="39" ht="78.75" customHeight="1">
      <c r="A39" s="9" t="s">
        <v>23</v>
      </c>
      <c r="B39" s="9" t="s">
        <v>47</v>
      </c>
      <c r="C39" s="10" t="s">
        <v>144</v>
      </c>
      <c r="D39" s="10" t="s">
        <v>145</v>
      </c>
      <c r="E39" s="9" t="s">
        <v>67</v>
      </c>
      <c r="F39" s="12" t="s">
        <v>146</v>
      </c>
      <c r="G39" s="11" cm="1" t="str">
        <f t="array" ref="G39">IF(F39="","",SUBSTITUTE(SUBSTITUTE(SUBSTITUTE(SUBSTITUTE(F39,"&lt;li&gt;",CHAR(10)),"&lt;/li&gt;",""),"&lt;br&gt;",CHAR(10)),"&lt;strong&gt;",""))</f>
        <v>&lt;p&gt;Aucune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v>
      </c>
      <c r="H39" s="11" cm="1" t="str">
        <f t="array" ref="H39">IF(G39="","",SUBSTITUTE(SUBSTITUTE(SUBSTITUTE(SUBSTITUTE(SUBSTITUTE(G39,"&lt;p&gt;",""),"&lt;/p&gt;",""),"&lt;ul&gt;",""),"&lt;/ul&gt;",""),"&lt;/strong&gt;",""))</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I39" s="11" cm="1" t="str">
        <f t="array" ref="I39">IF(C39="","",IF(OR(H39="",H39=0,H39=FALSE),"-",H39))</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J39" s="12" t="s">
        <v>147</v>
      </c>
      <c r="K39" s="9" t="s">
        <v>46</v>
      </c>
      <c r="L39" s="9" cm="1" t="str">
        <f t="array" ref="L39">IF(C39="","",IF(K39="Mort / Plus rien à faire","KO","OK"))</f>
        <v>OK</v>
      </c>
      <c r="M39" s="13">
        <v>46063.36581018518</v>
      </c>
      <c r="N39" s="13" cm="1" t="n">
        <f t="array" ref="N39">IF(OR(C39="",M39="",M39=0),"",M39)</f>
        <v>46063.36581018518</v>
      </c>
      <c r="O39" s="13">
</c>
      <c r="P39" s="13" cm="1" t="str">
        <f t="array" ref="P39">IF(C39="","",IF(OR(O39="",O39=0),"-",O39))</f>
        <v>-</v>
      </c>
      <c r="Q39" s="14">
        <v>0</v>
      </c>
      <c r="R39" s="9" cm="1" t="str">
        <f t="array" ref="R39">IF(C39="","",ROUND(Q39/1000000,3)&amp;" M€")</f>
        <v>0 M€</v>
      </c>
      <c r="S39" s="15">
        <v>10</v>
      </c>
      <c r="T39" s="9" cm="1" t="str">
        <f t="array" ref="T39">IF(C39="","",SUBSTITUTE(S39,"","")&amp;"%")</f>
        <v>10%</v>
      </c>
      <c r="U39" s="11" cm="1" t="str">
        <f t="array" ref="U39">IF(($N39="")*($P39=""),"",IF(($N39&lt;&gt;"")*($N39&gt;TODAY()-9)*($N39&lt;TODAY()+1)*($P39&lt;&gt;"")*($P39&gt;=TODAY())*($P39&lt;=TODAY()+13),"Semaine passée &amp; à venir",IF(($N39&lt;&gt;"")*($N39&gt;TODAY()-9)*($N39&lt;TODAY()+1),"Semaine passée",IF(($P39&lt;&gt;"")*($P39&gt;=TODAY())*($P39&lt;=TODAY()+13),"À venir","Autre"))))</f>
        <v>Autre</v>
      </c>
      <c r="V39" cm="1" t="n">
        <f t="array" ref="V39">IF(C39&lt;&gt;"",1,0)</f>
        <v>1</v>
      </c>
    </row>
    <row r="40" ht="78.75" customHeight="1">
      <c r="A40" s="9" t="s">
        <v>23</v>
      </c>
      <c r="B40" s="9" t="s">
        <v>148</v>
      </c>
      <c r="C40" s="10" t="s">
        <v>149</v>
      </c>
      <c r="D40" s="10" t="s">
        <v>150</v>
      </c>
      <c r="E40" s="9" t="s">
        <v>67</v>
      </c>
      <c r="F40" s="12" t="s">
        <v>151</v>
      </c>
      <c r="G40" s="11" cm="1" t="str">
        <f t="array" ref="G40">IF(F40="","",SUBSTITUTE(SUBSTITUTE(SUBSTITUTE(SUBSTITUTE(F40,"&lt;li&gt;",CHAR(10)),"&lt;/li&gt;",""),"&lt;br&gt;",CHAR(10)),"&lt;strong&gt;",""))</f>
        <v>&lt;p&gt;Nouvelle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interactions.&lt;/p&gt;</v>
      </c>
      <c r="H40" s="11" cm="1" t="str">
        <f t="array" ref="H40">IF(G40="","",SUBSTITUTE(SUBSTITUTE(SUBSTITUTE(SUBSTITUTE(SUBSTITUTE(G40,"&lt;p&gt;",""),"&lt;/p&gt;",""),"&lt;ul&gt;",""),"&lt;/ul&gt;",""),"&lt;/strong&gt;",""))</f>
        <v>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v>
      </c>
      <c r="I40" s="11" cm="1" t="str">
        <f t="array" ref="I40">IF(C40="","",IF(OR(H40="",H40=0,H40=FALSE),"-",H40))</f>
        <v>Nouvelle piste créée pour équipe Ventes. Pas de fonds de fonds, prospect ouvert à secondaire, intro prévue vers équipe. Pas d'autres activités ou prochaines étapes renseignées. Aucun retour prospect détaillé sur fonds présentés. Suivi à poursuivre selon prochaines interactions.</v>
      </c>
      <c r="J40" s="12">
</c>
      <c r="K40" s="9" t="s">
        <v>69</v>
      </c>
      <c r="L40" s="9" cm="1" t="str">
        <f t="array" ref="L40">IF(C40="","",IF(K40="Mort / Plus rien à faire","KO","OK"))</f>
        <v>OK</v>
      </c>
      <c r="M40" s="13">
        <v>46141.44835648148</v>
      </c>
      <c r="N40" s="13" cm="1" t="n">
        <f t="array" ref="N40">IF(OR(C40="",M40="",M40=0),"",M40)</f>
        <v>46141.44835648148</v>
      </c>
      <c r="O40" s="13">
</c>
      <c r="P40" s="13" cm="1" t="str">
        <f t="array" ref="P40">IF(C40="","",IF(OR(O40="",O40=0),"-",O40))</f>
        <v>-</v>
      </c>
      <c r="Q40" s="14">
        <v>0</v>
      </c>
      <c r="R40" s="9" cm="1" t="str">
        <f t="array" ref="R40">IF(C40="","",ROUND(Q40/1000000,3)&amp;" M€")</f>
        <v>0 M€</v>
      </c>
      <c r="S40" s="15">
        <v>10</v>
      </c>
      <c r="T40" s="9" cm="1" t="str">
        <f t="array" ref="T40">IF(C40="","",SUBSTITUTE(S40,"","")&amp;"%")</f>
        <v>10%</v>
      </c>
      <c r="U40" s="11" cm="1" t="str">
        <f t="array" ref="U40">IF(($N40="")*($P40=""),"",IF(($N40&lt;&gt;"")*($N40&gt;TODAY()-9)*($N40&lt;TODAY()+1)*($P40&lt;&gt;"")*($P40&gt;=TODAY())*($P40&lt;=TODAY()+13),"Semaine passée &amp; à venir",IF(($N40&lt;&gt;"")*($N40&gt;TODAY()-9)*($N40&lt;TODAY()+1),"Semaine passée",IF(($P40&lt;&gt;"")*($P40&gt;=TODAY())*($P40&lt;=TODAY()+13),"À venir","Autre"))))</f>
        <v>Semaine passée</v>
      </c>
      <c r="V40" cm="1" t="n">
        <f t="array" ref="V40">IF(C40&lt;&gt;"",1,0)</f>
        <v>1</v>
      </c>
    </row>
    <row r="41" ht="78.75" customHeight="1">
      <c r="A41" s="9" t="s">
        <v>23</v>
      </c>
      <c r="B41" s="9" t="s">
        <v>31</v>
      </c>
      <c r="C41" s="10" t="s">
        <v>152</v>
      </c>
      <c r="D41" s="10" t="s">
        <v>153</v>
      </c>
      <c r="E41" s="9" t="s">
        <v>62</v>
      </c>
      <c r="F41" s="12" t="s">
        <v>154</v>
      </c>
      <c r="G41" s="11" cm="1" t="str">
        <f t="array" ref="G41">IF(F41="","",SUBSTITUTE(SUBSTITUTE(SUBSTITUTE(SUBSTITUTE(F41,"&lt;li&gt;",CHAR(10)),"&lt;/li&gt;",""),"&lt;br&gt;",CHAR(10)),"&lt;strong&gt;",""))</f>
        <v>&lt;p&gt;RDV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v>
      </c>
      <c r="H41" s="11" cm="1" t="str">
        <f t="array" ref="H41">IF(G41="","",SUBSTITUTE(SUBSTITUTE(SUBSTITUTE(SUBSTITUTE(SUBSTITUTE(G41,"&lt;p&gt;",""),"&lt;/p&gt;",""),"&lt;ul&gt;",""),"&lt;/ul&gt;",""),"&lt;/strong&gt;",""))</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I41" s="11" cm="1" t="str">
        <f t="array" ref="I41">IF(C41="","",IF(OR(H41="",H41=0,H41=FALSE),"-",H41))</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J41" s="12">
</c>
      <c r="K41" s="9" t="s">
        <v>77</v>
      </c>
      <c r="L41" s="9" cm="1" t="str">
        <f t="array" ref="L41">IF(C41="","",IF(K41="Mort / Plus rien à faire","KO","OK"))</f>
        <v>OK</v>
      </c>
      <c r="M41" s="13">
        <v>46042.622719907406</v>
      </c>
      <c r="N41" s="13" cm="1" t="n">
        <f t="array" ref="N41">IF(OR(C41="",M41="",M41=0),"",M41)</f>
        <v>46042.622719907406</v>
      </c>
      <c r="O41" s="13">
</c>
      <c r="P41" s="13" cm="1" t="str">
        <f t="array" ref="P41">IF(C41="","",IF(OR(O41="",O41=0),"-",O41))</f>
        <v>-</v>
      </c>
      <c r="Q41" s="14">
        <v>0</v>
      </c>
      <c r="R41" s="9" cm="1" t="str">
        <f t="array" ref="R41">IF(C41="","",ROUND(Q41/1000000,3)&amp;" M€")</f>
        <v>0 M€</v>
      </c>
      <c r="S41" s="15">
        <v>10</v>
      </c>
      <c r="T41" s="9" cm="1" t="str">
        <f t="array" ref="T41">IF(C41="","",SUBSTITUTE(S41,"","")&amp;"%")</f>
        <v>10%</v>
      </c>
      <c r="U41" s="11" cm="1" t="str">
        <f t="array" ref="U41">IF(($N41="")*($P41=""),"",IF(($N41&lt;&gt;"")*($N41&gt;TODAY()-9)*($N41&lt;TODAY()+1)*($P41&lt;&gt;"")*($P41&gt;=TODAY())*($P41&lt;=TODAY()+13),"Semaine passée &amp; à venir",IF(($N41&lt;&gt;"")*($N41&gt;TODAY()-9)*($N41&lt;TODAY()+1),"Semaine passée",IF(($P41&lt;&gt;"")*($P41&gt;=TODAY())*($P41&lt;=TODAY()+13),"À venir","Autre"))))</f>
        <v>Autre</v>
      </c>
      <c r="V41" cm="1" t="n">
        <f t="array" ref="V41">IF(C41&lt;&gt;"",1,0)</f>
        <v>1</v>
      </c>
    </row>
    <row r="42" ht="78.75" customHeight="1">
      <c r="A42" s="9" t="s">
        <v>23</v>
      </c>
      <c r="B42" s="9" t="s">
        <v>102</v>
      </c>
      <c r="C42" s="10" t="s">
        <v>155</v>
      </c>
      <c r="D42" s="10" t="s">
        <v>156</v>
      </c>
      <c r="E42" s="9" t="s">
        <v>67</v>
      </c>
      <c r="F42" s="12" t="s">
        <v>157</v>
      </c>
      <c r="G42" s="11" cm="1" t="str">
        <f t="array" ref="G42">IF(F42="","",SUBSTITUTE(SUBSTITUTE(SUBSTITUTE(SUBSTITUTE(F42,"&lt;li&gt;",CHAR(10)),"&lt;/li&gt;",""),"&lt;br&gt;",CHAR(10)),"&lt;strong&gt;",""))</f>
        <v>&lt;p&gt;Lead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identifiée.&lt;/p&gt;</v>
      </c>
      <c r="H42" s="11" cm="1" t="str">
        <f t="array" ref="H42">IF(G42="","",SUBSTITUTE(SUBSTITUTE(SUBSTITUTE(SUBSTITUTE(SUBSTITUTE(G42,"&lt;p&gt;",""),"&lt;/p&gt;",""),"&lt;ul&gt;",""),"&lt;/ul&gt;",""),"&lt;/strong&gt;",""))</f>
        <v>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v>
      </c>
      <c r="I42" s="11" cm="1" t="str">
        <f t="array" ref="I42">IF(C42="","",IF(OR(H42="",H42=0,H42=FALSE),"-",H42))</f>
        <v>Lead LG, support fonds Newspace transmis pour discussion avec Henri Seydoux, nouvelle piste créée équipe Ventes. Pas de retour prospect ni d'activité récente, relance Straton prévue au 29/11/2025. Aucun message nécessitant action, peu d'infos détaillées sur prospect, aucune donnée chiffrée identifiée.</v>
      </c>
      <c r="J42" s="12">
</c>
      <c r="K42" s="9" t="s">
        <v>69</v>
      </c>
      <c r="L42" s="9" cm="1" t="str">
        <f t="array" ref="L42">IF(C42="","",IF(K42="Mort / Plus rien à faire","KO","OK"))</f>
        <v>OK</v>
      </c>
      <c r="M42" s="13">
        <v>46141.59153935185</v>
      </c>
      <c r="N42" s="13" cm="1" t="n">
        <f t="array" ref="N42">IF(OR(C42="",M42="",M42=0),"",M42)</f>
        <v>46141.59153935185</v>
      </c>
      <c r="O42" s="13">
</c>
      <c r="P42" s="13" cm="1" t="str">
        <f t="array" ref="P42">IF(C42="","",IF(OR(O42="",O42=0),"-",O42))</f>
        <v>-</v>
      </c>
      <c r="Q42" s="14">
        <v>0</v>
      </c>
      <c r="R42" s="9" cm="1" t="str">
        <f t="array" ref="R42">IF(C42="","",ROUND(Q42/1000000,3)&amp;" M€")</f>
        <v>0 M€</v>
      </c>
      <c r="S42" s="15">
        <v>10</v>
      </c>
      <c r="T42" s="9" cm="1" t="str">
        <f t="array" ref="T42">IF(C42="","",SUBSTITUTE(S42,"","")&amp;"%")</f>
        <v>10%</v>
      </c>
      <c r="U42" s="11" cm="1" t="str">
        <f t="array" ref="U42">IF(($N42="")*($P42=""),"",IF(($N42&lt;&gt;"")*($N42&gt;TODAY()-9)*($N42&lt;TODAY()+1)*($P42&lt;&gt;"")*($P42&gt;=TODAY())*($P42&lt;=TODAY()+13),"Semaine passée &amp; à venir",IF(($N42&lt;&gt;"")*($N42&gt;TODAY()-9)*($N42&lt;TODAY()+1),"Semaine passée",IF(($P42&lt;&gt;"")*($P42&gt;=TODAY())*($P42&lt;=TODAY()+13),"À venir","Autre"))))</f>
        <v>Semaine passée</v>
      </c>
      <c r="V42" cm="1" t="n">
        <f t="array" ref="V42">IF(C42&lt;&gt;"",1,0)</f>
        <v>1</v>
      </c>
    </row>
    <row r="43" ht="78.75" customHeight="1">
      <c r="A43" s="9" t="s">
        <v>23</v>
      </c>
      <c r="B43" s="9" t="s">
        <v>37</v>
      </c>
      <c r="C43" s="10" t="s">
        <v>158</v>
      </c>
      <c r="D43" s="10" t="s">
        <v>159</v>
      </c>
      <c r="E43" s="9" t="s">
        <v>62</v>
      </c>
      <c r="F43" s="12" t="s">
        <v>160</v>
      </c>
      <c r="G43" s="11" cm="1" t="str">
        <f t="array" ref="G43">IF(F43="","",SUBSTITUTE(SUBSTITUTE(SUBSTITUTE(SUBSTITUTE(F43,"&lt;li&gt;",CHAR(10)),"&lt;/li&gt;",""),"&lt;br&gt;",CHAR(10)),"&lt;strong&gt;",""))</f>
        <v>&lt;p&gt;RDV Toulouse 24/03&amp;nbsp;: reporting fonds Constellation 3, clients appétents PME/non coté, philanthropie très valorisée, focus éducation/environnement. Phase d’investissement clients dès avril/mai. Prise de nouvelles avril, envoi article CB. Prochaine étape&amp;nbsp;: rappeler lors du démarrage investissements clients.&lt;/p&gt;</v>
      </c>
      <c r="H43" s="11" cm="1" t="str">
        <f t="array" ref="H43">IF(G43="","",SUBSTITUTE(SUBSTITUTE(SUBSTITUTE(SUBSTITUTE(SUBSTITUTE(G43,"&lt;p&gt;",""),"&lt;/p&gt;",""),"&lt;ul&gt;",""),"&lt;/ul&gt;",""),"&lt;/strong&gt;",""))</f>
        <v>RDV Toulouse 24/03&amp;nbsp;: reporting fonds Constellation 3, clients appétents PME/non coté, philanthropie très valorisée, focus éducation/environnement. Phase d’investissement clients dès avril/mai. Prise de nouvelles avril, envoi article CB. Prochaine étape&amp;nbsp;: rappeler lors du démarrage investissements clients.</v>
      </c>
      <c r="I43" s="11" cm="1" t="str">
        <f t="array" ref="I43">IF(C43="","",IF(OR(H43="",H43=0,H43=FALSE),"-",H43))</f>
        <v>RDV Toulouse 24/03&amp;nbsp;: reporting fonds Constellation 3, clients appétents PME/non coté, philanthropie très valorisée, focus éducation/environnement. Phase d’investissement clients dès avril/mai. Prise de nouvelles avril, envoi article CB. Prochaine étape&amp;nbsp;: rappeler lors du démarrage investissements clients.</v>
      </c>
      <c r="J43" s="12">
</c>
      <c r="K43" s="9" t="s">
        <v>46</v>
      </c>
      <c r="L43" s="9" cm="1" t="str">
        <f t="array" ref="L43">IF(C43="","",IF(K43="Mort / Plus rien à faire","KO","OK"))</f>
        <v>OK</v>
      </c>
      <c r="M43" s="13">
        <v>46141.43846064815</v>
      </c>
      <c r="N43" s="13" cm="1" t="n">
        <f t="array" ref="N43">IF(OR(C43="",M43="",M43=0),"",M43)</f>
        <v>46141.43846064815</v>
      </c>
      <c r="O43" s="13">
</c>
      <c r="P43" s="13" cm="1" t="str">
        <f t="array" ref="P43">IF(C43="","",IF(OR(O43="",O43=0),"-",O43))</f>
        <v>-</v>
      </c>
      <c r="Q43" s="14">
        <v>0</v>
      </c>
      <c r="R43" s="9" cm="1" t="str">
        <f t="array" ref="R43">IF(C43="","",ROUND(Q43/1000000,3)&amp;" M€")</f>
        <v>0 M€</v>
      </c>
      <c r="S43" s="15">
        <v>10</v>
      </c>
      <c r="T43" s="9" cm="1" t="str">
        <f t="array" ref="T43">IF(C43="","",SUBSTITUTE(S43,"","")&amp;"%")</f>
        <v>10%</v>
      </c>
      <c r="U43" s="11" cm="1" t="str">
        <f t="array" ref="U43">IF(($N43="")*($P43=""),"",IF(($N43&lt;&gt;"")*($N43&gt;TODAY()-9)*($N43&lt;TODAY()+1)*($P43&lt;&gt;"")*($P43&gt;=TODAY())*($P43&lt;=TODAY()+13),"Semaine passée &amp; à venir",IF(($N43&lt;&gt;"")*($N43&gt;TODAY()-9)*($N43&lt;TODAY()+1),"Semaine passée",IF(($P43&lt;&gt;"")*($P43&gt;=TODAY())*($P43&lt;=TODAY()+13),"À venir","Autre"))))</f>
        <v>Semaine passée</v>
      </c>
      <c r="V43" cm="1" t="n">
        <f t="array" ref="V43">IF(C43&lt;&gt;"",1,0)</f>
        <v>1</v>
      </c>
    </row>
    <row r="44" ht="78.75" customHeight="1">
      <c r="A44" s="9" t="s">
        <v>23</v>
      </c>
      <c r="B44" s="9" t="s">
        <v>64</v>
      </c>
      <c r="C44" s="10" t="s">
        <v>161</v>
      </c>
      <c r="D44" s="10" t="s">
        <v>162</v>
      </c>
      <c r="E44" s="9" t="s">
        <v>67</v>
      </c>
      <c r="F44" s="12" t="s">
        <v>163</v>
      </c>
      <c r="G44" s="11" cm="1" t="str">
        <f t="array" ref="G44">IF(F44="","",SUBSTITUTE(SUBSTITUTE(SUBSTITUTE(SUBSTITUTE(F44,"&lt;li&gt;",CHAR(10)),"&lt;/li&gt;",""),"&lt;br&gt;",CHAR(10)),"&lt;strong&gt;",""))</f>
        <v>&lt;p&gt;Nouvelle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jour.&lt;/p&gt;</v>
      </c>
      <c r="H44" s="11" cm="1" t="str">
        <f t="array" ref="H44">IF(G44="","",SUBSTITUTE(SUBSTITUTE(SUBSTITUTE(SUBSTITUTE(SUBSTITUTE(G44,"&lt;p&gt;",""),"&lt;/p&gt;",""),"&lt;ul&gt;",""),"&lt;/ul&gt;",""),"&lt;/strong&gt;",""))</f>
        <v>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v>
      </c>
      <c r="I44" s="11" cm="1" t="str">
        <f t="array" ref="I44">IF(C44="","",IF(OR(H44="",H44=0,H44=FALSE),"-",H44))</f>
        <v>Nouvelle piste créée pour équipe Ventes. Dernière activité : offre Audacia éligible 150 0 B Ter, action prévue le 13/04/2026, type : échange visio. Aucun retour prospect, aucune conclusion ni prochaine étape précisée dans les échanges. Pas d'autres actions ou retours notables à ce jour.</v>
      </c>
      <c r="J44" s="12" t="s">
        <v>164</v>
      </c>
      <c r="K44" s="9" t="s">
        <v>46</v>
      </c>
      <c r="L44" s="9" cm="1" t="str">
        <f t="array" ref="L44">IF(C44="","",IF(K44="Mort / Plus rien à faire","KO","OK"))</f>
        <v>OK</v>
      </c>
      <c r="M44" s="13">
        <v>46122.41097222222</v>
      </c>
      <c r="N44" s="13" cm="1" t="n">
        <f t="array" ref="N44">IF(OR(C44="",M44="",M44=0),"",M44)</f>
        <v>46122.41097222222</v>
      </c>
      <c r="O44" s="13">
</c>
      <c r="P44" s="13" cm="1" t="str">
        <f t="array" ref="P44">IF(C44="","",IF(OR(O44="",O44=0),"-",O44))</f>
        <v>-</v>
      </c>
      <c r="Q44" s="14">
        <v>0</v>
      </c>
      <c r="R44" s="9" cm="1" t="str">
        <f t="array" ref="R44">IF(C44="","",ROUND(Q44/1000000,3)&amp;" M€")</f>
        <v>0 M€</v>
      </c>
      <c r="S44" s="15">
        <v>10</v>
      </c>
      <c r="T44" s="9" cm="1" t="str">
        <f t="array" ref="T44">IF(C44="","",SUBSTITUTE(S44,"","")&amp;"%")</f>
        <v>10%</v>
      </c>
      <c r="U44" s="11" cm="1" t="str">
        <f t="array" ref="U44">IF(($N44="")*($P44=""),"",IF(($N44&lt;&gt;"")*($N44&gt;TODAY()-9)*($N44&lt;TODAY()+1)*($P44&lt;&gt;"")*($P44&gt;=TODAY())*($P44&lt;=TODAY()+13),"Semaine passée &amp; à venir",IF(($N44&lt;&gt;"")*($N44&gt;TODAY()-9)*($N44&lt;TODAY()+1),"Semaine passée",IF(($P44&lt;&gt;"")*($P44&gt;=TODAY())*($P44&lt;=TODAY()+13),"À venir","Autre"))))</f>
        <v>Autre</v>
      </c>
      <c r="V44" cm="1" t="n">
        <f t="array" ref="V44">IF(C44&lt;&gt;"",1,0)</f>
        <v>1</v>
      </c>
    </row>
    <row r="45" ht="78.75" customHeight="1">
      <c r="A45" s="9" t="s">
        <v>23</v>
      </c>
      <c r="B45" s="9" t="s">
        <v>31</v>
      </c>
      <c r="C45" s="10" t="s">
        <v>165</v>
      </c>
      <c r="D45" s="10" t="s">
        <v>166</v>
      </c>
      <c r="E45" s="9" t="s">
        <v>26</v>
      </c>
      <c r="F45" s="12" t="s">
        <v>167</v>
      </c>
      <c r="G45" s="11" cm="1" t="str">
        <f t="array" ref="G45">IF(F45="","",SUBSTITUTE(SUBSTITUTE(SUBSTITUTE(SUBSTITUTE(F45,"&lt;li&gt;",CHAR(10)),"&lt;/li&gt;",""),"&lt;br&gt;",CHAR(10)),"&lt;strong&gt;",""))</f>
        <v>&lt;p&gt;Présentation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v>
      </c>
      <c r="H45" s="11" cm="1" t="str">
        <f t="array" ref="H45">IF(G45="","",SUBSTITUTE(SUBSTITUTE(SUBSTITUTE(SUBSTITUTE(SUBSTITUTE(G45,"&lt;p&gt;",""),"&lt;/p&gt;",""),"&lt;ul&gt;",""),"&lt;/ul&gt;",""),"&lt;/strong&gt;",""))</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I45" s="11" cm="1" t="str">
        <f t="array" ref="I45">IF(C45="","",IF(OR(H45="",H45=0,H45=FALSE),"-",H45))</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J45" s="12">
</c>
      <c r="K45" s="9" t="s">
        <v>46</v>
      </c>
      <c r="L45" s="9" cm="1" t="str">
        <f t="array" ref="L45">IF(C45="","",IF(K45="Mort / Plus rien à faire","KO","OK"))</f>
        <v>OK</v>
      </c>
      <c r="M45" s="13">
        <v>46050.73570601852</v>
      </c>
      <c r="N45" s="13" cm="1" t="n">
        <f t="array" ref="N45">IF(OR(C45="",M45="",M45=0),"",M45)</f>
        <v>46050.73570601852</v>
      </c>
      <c r="O45" s="13">
</c>
      <c r="P45" s="13" cm="1" t="str">
        <f t="array" ref="P45">IF(C45="","",IF(OR(O45="",O45=0),"-",O45))</f>
        <v>-</v>
      </c>
      <c r="Q45" s="14">
        <v>0</v>
      </c>
      <c r="R45" s="9" cm="1" t="str">
        <f t="array" ref="R45">IF(C45="","",ROUND(Q45/1000000,3)&amp;" M€")</f>
        <v>0 M€</v>
      </c>
      <c r="S45" s="15">
        <v>10</v>
      </c>
      <c r="T45" s="9" cm="1" t="str">
        <f t="array" ref="T45">IF(C45="","",SUBSTITUTE(S45,"","")&amp;"%")</f>
        <v>10%</v>
      </c>
      <c r="U45" s="11" cm="1" t="str">
        <f t="array" ref="U45">IF(($N45="")*($P45=""),"",IF(($N45&lt;&gt;"")*($N45&gt;TODAY()-9)*($N45&lt;TODAY()+1)*($P45&lt;&gt;"")*($P45&gt;=TODAY())*($P45&lt;=TODAY()+13),"Semaine passée &amp; à venir",IF(($N45&lt;&gt;"")*($N45&gt;TODAY()-9)*($N45&lt;TODAY()+1),"Semaine passée",IF(($P45&lt;&gt;"")*($P45&gt;=TODAY())*($P45&lt;=TODAY()+13),"À venir","Autre"))))</f>
        <v>Autre</v>
      </c>
      <c r="V45" cm="1" t="n">
        <f t="array" ref="V45">IF(C45&lt;&gt;"",1,0)</f>
        <v>1</v>
      </c>
    </row>
    <row r="46" ht="78.75" customHeight="1">
      <c r="A46" s="9" t="s">
        <v>23</v>
      </c>
      <c r="B46" s="9" t="s">
        <v>47</v>
      </c>
      <c r="C46" s="10" t="s">
        <v>168</v>
      </c>
      <c r="D46" s="9">
</c>
      <c r="E46" s="9" t="s">
        <v>67</v>
      </c>
      <c r="F46" s="12" t="s">
        <v>169</v>
      </c>
      <c r="G46" s="11" cm="1" t="str">
        <f t="array" ref="G46">IF(F46="","",SUBSTITUTE(SUBSTITUTE(SUBSTITUTE(SUBSTITUTE(F46,"&lt;li&gt;",CHAR(10)),"&lt;/li&gt;",""),"&lt;br&gt;",CHAR(10)),"&lt;strong&gt;",""))</f>
        <v>&lt;p&gt;RDV physique 5 mars : prospect gère fonds 10M€, focus early stage, Inde/Moyen-Orient, 2 deals deeptech (ADEX, EXODIGO). Intérêt pour GEODESIC, souhaite voir start-up en levée dans la zone Inde. Prochaine étape : présenter dossiers pertinents, relance à prévoir, non prioritaire.&lt;/p&gt;</v>
      </c>
      <c r="H46" s="11" cm="1" t="str">
        <f t="array" ref="H46">IF(G46="","",SUBSTITUTE(SUBSTITUTE(SUBSTITUTE(SUBSTITUTE(SUBSTITUTE(G46,"&lt;p&gt;",""),"&lt;/p&gt;",""),"&lt;ul&gt;",""),"&lt;/ul&gt;",""),"&lt;/strong&gt;",""))</f>
        <v>RDV physique 5 mars : prospect gère fonds 10M€, focus early stage, Inde/Moyen-Orient, 2 deals deeptech (ADEX, EXODIGO). Intérêt pour GEODESIC, souhaite voir start-up en levée dans la zone Inde. Prochaine étape : présenter dossiers pertinents, relance à prévoir, non prioritaire.</v>
      </c>
      <c r="I46" s="11" cm="1" t="str">
        <f t="array" ref="I46">IF(C46="","",IF(OR(H46="",H46=0,H46=FALSE),"-",H46))</f>
        <v>RDV physique 5 mars : prospect gère fonds 10M€, focus early stage, Inde/Moyen-Orient, 2 deals deeptech (ADEX, EXODIGO). Intérêt pour GEODESIC, souhaite voir start-up en levée dans la zone Inde. Prochaine étape : présenter dossiers pertinents, relance à prévoir, non prioritaire.</v>
      </c>
      <c r="J46" s="12" t="s">
        <v>170</v>
      </c>
      <c r="K46" s="9" t="s">
        <v>46</v>
      </c>
      <c r="L46" s="9" cm="1" t="str">
        <f t="array" ref="L46">IF(C46="","",IF(K46="Mort / Plus rien à faire","KO","OK"))</f>
        <v>OK</v>
      </c>
      <c r="M46" s="13">
        <v>46094.51291666667</v>
      </c>
      <c r="N46" s="13" cm="1" t="n">
        <f t="array" ref="N46">IF(OR(C46="",M46="",M46=0),"",M46)</f>
        <v>46094.51291666667</v>
      </c>
      <c r="O46" s="13">
</c>
      <c r="P46" s="13" cm="1" t="str">
        <f t="array" ref="P46">IF(C46="","",IF(OR(O46="",O46=0),"-",O46))</f>
        <v>-</v>
      </c>
      <c r="Q46" s="14">
        <v>0</v>
      </c>
      <c r="R46" s="9" cm="1" t="str">
        <f t="array" ref="R46">IF(C46="","",ROUND(Q46/1000000,3)&amp;" M€")</f>
        <v>0 M€</v>
      </c>
      <c r="S46" s="15">
        <v>10</v>
      </c>
      <c r="T46" s="9" cm="1" t="str">
        <f t="array" ref="T46">IF(C46="","",SUBSTITUTE(S46,"","")&amp;"%")</f>
        <v>10%</v>
      </c>
      <c r="U46" s="11" cm="1" t="str">
        <f t="array" ref="U46">IF(($N46="")*($P46=""),"",IF(($N46&lt;&gt;"")*($N46&gt;TODAY()-9)*($N46&lt;TODAY()+1)*($P46&lt;&gt;"")*($P46&gt;=TODAY())*($P46&lt;=TODAY()+13),"Semaine passée &amp; à venir",IF(($N46&lt;&gt;"")*($N46&gt;TODAY()-9)*($N46&lt;TODAY()+1),"Semaine passée",IF(($P46&lt;&gt;"")*($P46&gt;=TODAY())*($P46&lt;=TODAY()+13),"À venir","Autre"))))</f>
        <v>Autre</v>
      </c>
      <c r="V46" cm="1" t="n">
        <f t="array" ref="V46">IF(C46&lt;&gt;"",1,0)</f>
        <v>1</v>
      </c>
    </row>
    <row r="47" ht="78.75" customHeight="1">
      <c r="A47" s="9" t="s">
        <v>23</v>
      </c>
      <c r="B47" s="9" t="s">
        <v>31</v>
      </c>
      <c r="C47" s="10" t="s">
        <v>171</v>
      </c>
      <c r="D47" s="10" t="s">
        <v>172</v>
      </c>
      <c r="E47" s="9" t="s">
        <v>26</v>
      </c>
      <c r="F47" s="12" t="s">
        <v>173</v>
      </c>
      <c r="G47" s="11" cm="1" t="str">
        <f t="array" ref="G47">IF(F47="","",SUBSTITUTE(SUBSTITUTE(SUBSTITUTE(SUBSTITUTE(F47,"&lt;li&gt;",CHAR(10)),"&lt;/li&gt;",""),"&lt;br&gt;",CHAR(10)),"&lt;strong&gt;",""))</f>
        <v>&lt;p&gt;Piste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v>
      </c>
      <c r="H47" s="11" cm="1" t="str">
        <f t="array" ref="H47">IF(G47="","",SUBSTITUTE(SUBSTITUTE(SUBSTITUTE(SUBSTITUTE(SUBSTITUTE(G47,"&lt;p&gt;",""),"&lt;/p&gt;",""),"&lt;ul&gt;",""),"&lt;/ul&gt;",""),"&lt;/strong&gt;",""))</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I47" s="11" cm="1" t="str">
        <f t="array" ref="I47">IF(C47="","",IF(OR(H47="",H47=0,H47=FALSE),"-",H47))</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J47" s="12">
</c>
      <c r="K47" s="9" t="s">
        <v>46</v>
      </c>
      <c r="L47" s="9" cm="1" t="str">
        <f t="array" ref="L47">IF(C47="","",IF(K47="Mort / Plus rien à faire","KO","OK"))</f>
        <v>OK</v>
      </c>
      <c r="M47" s="13">
        <v>46087.70793981481</v>
      </c>
      <c r="N47" s="13" cm="1" t="n">
        <f t="array" ref="N47">IF(OR(C47="",M47="",M47=0),"",M47)</f>
        <v>46087.70793981481</v>
      </c>
      <c r="O47" s="13">
</c>
      <c r="P47" s="13" cm="1" t="str">
        <f t="array" ref="P47">IF(C47="","",IF(OR(O47="",O47=0),"-",O47))</f>
        <v>-</v>
      </c>
      <c r="Q47" s="14">
        <v>0</v>
      </c>
      <c r="R47" s="9" cm="1" t="str">
        <f t="array" ref="R47">IF(C47="","",ROUND(Q47/1000000,3)&amp;" M€")</f>
        <v>0 M€</v>
      </c>
      <c r="S47" s="15">
        <v>10</v>
      </c>
      <c r="T47" s="9" cm="1" t="str">
        <f t="array" ref="T47">IF(C47="","",SUBSTITUTE(S47,"","")&amp;"%")</f>
        <v>10%</v>
      </c>
      <c r="U47" s="11" cm="1" t="str">
        <f t="array" ref="U47">IF(($N47="")*($P47=""),"",IF(($N47&lt;&gt;"")*($N47&gt;TODAY()-9)*($N47&lt;TODAY()+1)*($P47&lt;&gt;"")*($P47&gt;=TODAY())*($P47&lt;=TODAY()+13),"Semaine passée &amp; à venir",IF(($N47&lt;&gt;"")*($N47&gt;TODAY()-9)*($N47&lt;TODAY()+1),"Semaine passée",IF(($P47&lt;&gt;"")*($P47&gt;=TODAY())*($P47&lt;=TODAY()+13),"À venir","Autre"))))</f>
        <v>Autre</v>
      </c>
      <c r="V47" cm="1" t="n">
        <f t="array" ref="V47">IF(C47&lt;&gt;"",1,0)</f>
        <v>1</v>
      </c>
    </row>
    <row r="48" ht="78.75" customHeight="1">
      <c r="A48" s="9" t="s">
        <v>23</v>
      </c>
      <c r="B48" s="9" t="s">
        <v>47</v>
      </c>
      <c r="C48" s="10" t="s">
        <v>174</v>
      </c>
      <c r="D48" s="10" t="s">
        <v>175</v>
      </c>
      <c r="E48" s="9" t="s">
        <v>62</v>
      </c>
      <c r="F48" s="12" t="s">
        <v>176</v>
      </c>
      <c r="G48" s="11" cm="1" t="str">
        <f t="array" ref="G48">IF(F48="","",SUBSTITUTE(SUBSTITUTE(SUBSTITUTE(SUBSTITUTE(F48,"&lt;li&gt;",CHAR(10)),"&lt;/li&gt;",""),"&lt;br&gt;",CHAR(10)),"&lt;strong&gt;",""))</f>
        <v>&lt;p&gt;Appel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v>
      </c>
      <c r="H48" s="11" cm="1" t="str">
        <f t="array" ref="H48">IF(G48="","",SUBSTITUTE(SUBSTITUTE(SUBSTITUTE(SUBSTITUTE(SUBSTITUTE(G48,"&lt;p&gt;",""),"&lt;/p&gt;",""),"&lt;ul&gt;",""),"&lt;/ul&gt;",""),"&lt;/strong&gt;",""))</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I48" s="11" cm="1" t="str">
        <f t="array" ref="I48">IF(C48="","",IF(OR(H48="",H48=0,H48=FALSE),"-",H48))</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J48" s="12">
</c>
      <c r="K48" s="9" t="s">
        <v>77</v>
      </c>
      <c r="L48" s="9" cm="1" t="str">
        <f t="array" ref="L48">IF(C48="","",IF(K48="Mort / Plus rien à faire","KO","OK"))</f>
        <v>OK</v>
      </c>
      <c r="M48" s="13">
        <v>46113.61194444444</v>
      </c>
      <c r="N48" s="13" cm="1" t="n">
        <f t="array" ref="N48">IF(OR(C48="",M48="",M48=0),"",M48)</f>
        <v>46113.61194444444</v>
      </c>
      <c r="O48" s="13">
</c>
      <c r="P48" s="13" cm="1" t="str">
        <f t="array" ref="P48">IF(C48="","",IF(OR(O48="",O48=0),"-",O48))</f>
        <v>-</v>
      </c>
      <c r="Q48" s="14">
        <v>0</v>
      </c>
      <c r="R48" s="9" cm="1" t="str">
        <f t="array" ref="R48">IF(C48="","",ROUND(Q48/1000000,3)&amp;" M€")</f>
        <v>0 M€</v>
      </c>
      <c r="S48" s="15">
        <v>10</v>
      </c>
      <c r="T48" s="9" cm="1" t="str">
        <f t="array" ref="T48">IF(C48="","",SUBSTITUTE(S48,"","")&amp;"%")</f>
        <v>10%</v>
      </c>
      <c r="U48" s="11" cm="1" t="str">
        <f t="array" ref="U48">IF(($N48="")*($P48=""),"",IF(($N48&lt;&gt;"")*($N48&gt;TODAY()-9)*($N48&lt;TODAY()+1)*($P48&lt;&gt;"")*($P48&gt;=TODAY())*($P48&lt;=TODAY()+13),"Semaine passée &amp; à venir",IF(($N48&lt;&gt;"")*($N48&gt;TODAY()-9)*($N48&lt;TODAY()+1),"Semaine passée",IF(($P48&lt;&gt;"")*($P48&gt;=TODAY())*($P48&lt;=TODAY()+13),"À venir","Autre"))))</f>
        <v>Autre</v>
      </c>
      <c r="V48" cm="1" t="n">
        <f t="array" ref="V48">IF(C48&lt;&gt;"",1,0)</f>
        <v>1</v>
      </c>
    </row>
    <row r="49" ht="78.75" customHeight="1">
      <c r="A49" s="9" t="s">
        <v>23</v>
      </c>
      <c r="B49" s="9" t="s">
        <v>102</v>
      </c>
      <c r="C49" s="10" t="s">
        <v>177</v>
      </c>
      <c r="D49" s="10" t="s">
        <v>178</v>
      </c>
      <c r="E49" s="9" t="s">
        <v>26</v>
      </c>
      <c r="F49" s="12" t="s">
        <v>179</v>
      </c>
      <c r="G49" s="11" cm="1" t="str">
        <f t="array" ref="G49">IF(F49="","",SUBSTITUTE(SUBSTITUTE(SUBSTITUTE(SUBSTITUTE(F49,"&lt;li&gt;",CHAR(10)),"&lt;/li&gt;",""),"&lt;br&gt;",CHAR(10)),"&lt;strong&gt;",""))</f>
        <v>&lt;p&gt;05/02/2026: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v>
      </c>
      <c r="H49" s="11" cm="1" t="str">
        <f t="array" ref="H49">IF(G49="","",SUBSTITUTE(SUBSTITUTE(SUBSTITUTE(SUBSTITUTE(SUBSTITUTE(G49,"&lt;p&gt;",""),"&lt;/p&gt;",""),"&lt;ul&gt;",""),"&lt;/ul&gt;",""),"&lt;/strong&gt;",""))</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I49" s="11" cm="1" t="str">
        <f t="array" ref="I49">IF(C49="","",IF(OR(H49="",H49=0,H49=FALSE),"-",H49))</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J49" s="12">
</c>
      <c r="K49" s="9" t="s">
        <v>46</v>
      </c>
      <c r="L49" s="9" cm="1" t="str">
        <f t="array" ref="L49">IF(C49="","",IF(K49="Mort / Plus rien à faire","KO","OK"))</f>
        <v>OK</v>
      </c>
      <c r="M49" s="13">
        <v>46094.75239583333</v>
      </c>
      <c r="N49" s="13" cm="1" t="n">
        <f t="array" ref="N49">IF(OR(C49="",M49="",M49=0),"",M49)</f>
        <v>46094.75239583333</v>
      </c>
      <c r="O49" s="13">
</c>
      <c r="P49" s="13" cm="1" t="str">
        <f t="array" ref="P49">IF(C49="","",IF(OR(O49="",O49=0),"-",O49))</f>
        <v>-</v>
      </c>
      <c r="Q49" s="14">
        <v>0</v>
      </c>
      <c r="R49" s="9" cm="1" t="str">
        <f t="array" ref="R49">IF(C49="","",ROUND(Q49/1000000,3)&amp;" M€")</f>
        <v>0 M€</v>
      </c>
      <c r="S49" s="15">
        <v>10</v>
      </c>
      <c r="T49" s="9" cm="1" t="str">
        <f t="array" ref="T49">IF(C49="","",SUBSTITUTE(S49,"","")&amp;"%")</f>
        <v>10%</v>
      </c>
      <c r="U49" s="11" cm="1" t="str">
        <f t="array" ref="U49">IF(($N49="")*($P49=""),"",IF(($N49&lt;&gt;"")*($N49&gt;TODAY()-9)*($N49&lt;TODAY()+1)*($P49&lt;&gt;"")*($P49&gt;=TODAY())*($P49&lt;=TODAY()+13),"Semaine passée &amp; à venir",IF(($N49&lt;&gt;"")*($N49&gt;TODAY()-9)*($N49&lt;TODAY()+1),"Semaine passée",IF(($P49&lt;&gt;"")*($P49&gt;=TODAY())*($P49&lt;=TODAY()+13),"À venir","Autre"))))</f>
        <v>Autre</v>
      </c>
      <c r="V49" cm="1" t="n">
        <f t="array" ref="V49">IF(C49&lt;&gt;"",1,0)</f>
        <v>1</v>
      </c>
    </row>
    <row r="50" ht="78.75" customHeight="1">
      <c r="A50" s="9" t="s">
        <v>23</v>
      </c>
      <c r="B50" s="9" t="s">
        <v>180</v>
      </c>
      <c r="C50" s="10" t="s">
        <v>181</v>
      </c>
      <c r="D50" s="10" t="s">
        <v>182</v>
      </c>
      <c r="E50" s="9" t="s">
        <v>67</v>
      </c>
      <c r="F50" s="12" t="s">
        <v>183</v>
      </c>
      <c r="G50" s="11" cm="1" t="str">
        <f t="array" ref="G50">IF(F50="","",SUBSTITUTE(SUBSTITUTE(SUBSTITUTE(SUBSTITUTE(F50,"&lt;li&gt;",CHAR(10)),"&lt;/li&gt;",""),"&lt;br&gt;",CHAR(10)),"&lt;strong&gt;",""))</f>
        <v>&lt;p&gt;RDV physique 20/02 : LMCapital, ambiance familiale, relation client non confiée à Paul-Louis, expansion freinée par familles, focus clients externes, Lausanne/Genève. PL Vautrot quitte LMCapital, à relancer après son mariage/nouveau job fin mai. Prochain RDV prévu 17/04.&lt;/p&gt;</v>
      </c>
      <c r="H50" s="11" cm="1" t="str">
        <f t="array" ref="H50">IF(G50="","",SUBSTITUTE(SUBSTITUTE(SUBSTITUTE(SUBSTITUTE(SUBSTITUTE(G50,"&lt;p&gt;",""),"&lt;/p&gt;",""),"&lt;ul&gt;",""),"&lt;/ul&gt;",""),"&lt;/strong&gt;",""))</f>
        <v>RDV physique 20/02 : LMCapital, ambiance familiale, relation client non confiée à Paul-Louis, expansion freinée par familles, focus clients externes, Lausanne/Genève. PL Vautrot quitte LMCapital, à relancer après son mariage/nouveau job fin mai. Prochain RDV prévu 17/04.</v>
      </c>
      <c r="I50" s="11" cm="1" t="str">
        <f t="array" ref="I50">IF(C50="","",IF(OR(H50="",H50=0,H50=FALSE),"-",H50))</f>
        <v>RDV physique 20/02 : LMCapital, ambiance familiale, relation client non confiée à Paul-Louis, expansion freinée par familles, focus clients externes, Lausanne/Genève. PL Vautrot quitte LMCapital, à relancer après son mariage/nouveau job fin mai. Prochain RDV prévu 17/04.</v>
      </c>
      <c r="J50" s="12" t="s">
        <v>184</v>
      </c>
      <c r="K50" s="9" t="s">
        <v>46</v>
      </c>
      <c r="L50" s="9" cm="1" t="str">
        <f t="array" ref="L50">IF(C50="","",IF(K50="Mort / Plus rien à faire","KO","OK"))</f>
        <v>OK</v>
      </c>
      <c r="M50" s="13">
        <v>46090.71244212963</v>
      </c>
      <c r="N50" s="13" cm="1" t="n">
        <f t="array" ref="N50">IF(OR(C50="",M50="",M50=0),"",M50)</f>
        <v>46090.71244212963</v>
      </c>
      <c r="O50" s="13">
</c>
      <c r="P50" s="13" cm="1" t="str">
        <f t="array" ref="P50">IF(C50="","",IF(OR(O50="",O50=0),"-",O50))</f>
        <v>-</v>
      </c>
      <c r="Q50" s="14">
        <v>0</v>
      </c>
      <c r="R50" s="9" cm="1" t="str">
        <f t="array" ref="R50">IF(C50="","",ROUND(Q50/1000000,3)&amp;" M€")</f>
        <v>0 M€</v>
      </c>
      <c r="S50" s="15">
        <v>10</v>
      </c>
      <c r="T50" s="9" cm="1" t="str">
        <f t="array" ref="T50">IF(C50="","",SUBSTITUTE(S50,"","")&amp;"%")</f>
        <v>10%</v>
      </c>
      <c r="U50" s="11" cm="1" t="str">
        <f t="array" ref="U50">IF(($N50="")*($P50=""),"",IF(($N50&lt;&gt;"")*($N50&gt;TODAY()-9)*($N50&lt;TODAY()+1)*($P50&lt;&gt;"")*($P50&gt;=TODAY())*($P50&lt;=TODAY()+13),"Semaine passée &amp; à venir",IF(($N50&lt;&gt;"")*($N50&gt;TODAY()-9)*($N50&lt;TODAY()+1),"Semaine passée",IF(($P50&lt;&gt;"")*($P50&gt;=TODAY())*($P50&lt;=TODAY()+13),"À venir","Autre"))))</f>
        <v>Autre</v>
      </c>
      <c r="V50" cm="1" t="n">
        <f t="array" ref="V50">IF(C50&lt;&gt;"",1,0)</f>
        <v>1</v>
      </c>
    </row>
    <row r="51" ht="78.75" customHeight="1">
      <c r="A51" s="9" t="s">
        <v>23</v>
      </c>
      <c r="B51" s="9" t="s">
        <v>185</v>
      </c>
      <c r="C51" s="10" t="s">
        <v>186</v>
      </c>
      <c r="D51" s="10" t="s">
        <v>187</v>
      </c>
      <c r="E51" s="9" t="s">
        <v>26</v>
      </c>
      <c r="F51" s="12" t="s">
        <v>188</v>
      </c>
      <c r="G51" s="11" cm="1" t="str">
        <f t="array" ref="G51">IF(F51="","",SUBSTITUTE(SUBSTITUTE(SUBSTITUTE(SUBSTITUTE(F51,"&lt;li&gt;",CHAR(10)),"&lt;/li&gt;",""),"&lt;br&gt;",CHAR(10)),"&lt;strong&gt;",""))</f>
        <v>&lt;p&gt;25/02/2026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v>
      </c>
      <c r="H51" s="11" cm="1" t="str">
        <f t="array" ref="H51">IF(G51="","",SUBSTITUTE(SUBSTITUTE(SUBSTITUTE(SUBSTITUTE(SUBSTITUTE(G51,"&lt;p&gt;",""),"&lt;/p&gt;",""),"&lt;ul&gt;",""),"&lt;/ul&gt;",""),"&lt;/strong&gt;",""))</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I51" s="11" cm="1" t="str">
        <f t="array" ref="I51">IF(C51="","",IF(OR(H51="",H51=0,H51=FALSE),"-",H51))</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J51" s="12" t="s">
        <v>189</v>
      </c>
      <c r="K51" s="9" t="s">
        <v>46</v>
      </c>
      <c r="L51" s="9" cm="1" t="str">
        <f t="array" ref="L51">IF(C51="","",IF(K51="Mort / Plus rien à faire","KO","OK"))</f>
        <v>OK</v>
      </c>
      <c r="M51" s="13">
        <v>46086.7059375</v>
      </c>
      <c r="N51" s="13" cm="1" t="n">
        <f t="array" ref="N51">IF(OR(C51="",M51="",M51=0),"",M51)</f>
        <v>46086.7059375</v>
      </c>
      <c r="O51" s="13">
</c>
      <c r="P51" s="13" cm="1" t="str">
        <f t="array" ref="P51">IF(C51="","",IF(OR(O51="",O51=0),"-",O51))</f>
        <v>-</v>
      </c>
      <c r="Q51" s="14">
        <v>0</v>
      </c>
      <c r="R51" s="9" cm="1" t="str">
        <f t="array" ref="R51">IF(C51="","",ROUND(Q51/1000000,3)&amp;" M€")</f>
        <v>0 M€</v>
      </c>
      <c r="S51" s="15">
        <v>10</v>
      </c>
      <c r="T51" s="9" cm="1" t="str">
        <f t="array" ref="T51">IF(C51="","",SUBSTITUTE(S51,"","")&amp;"%")</f>
        <v>10%</v>
      </c>
      <c r="U51" s="11" cm="1" t="str">
        <f t="array" ref="U51">IF(($N51="")*($P51=""),"",IF(($N51&lt;&gt;"")*($N51&gt;TODAY()-9)*($N51&lt;TODAY()+1)*($P51&lt;&gt;"")*($P51&gt;=TODAY())*($P51&lt;=TODAY()+13),"Semaine passée &amp; à venir",IF(($N51&lt;&gt;"")*($N51&gt;TODAY()-9)*($N51&lt;TODAY()+1),"Semaine passée",IF(($P51&lt;&gt;"")*($P51&gt;=TODAY())*($P51&lt;=TODAY()+13),"À venir","Autre"))))</f>
        <v>Autre</v>
      </c>
      <c r="V51" cm="1" t="n">
        <f t="array" ref="V51">IF(C51&lt;&gt;"",1,0)</f>
        <v>1</v>
      </c>
    </row>
    <row r="52" ht="78.75" customHeight="1">
      <c r="A52" s="9" t="s">
        <v>23</v>
      </c>
      <c r="B52" s="9" t="s">
        <v>190</v>
      </c>
      <c r="C52" s="10" t="s">
        <v>191</v>
      </c>
      <c r="D52" s="10" t="s">
        <v>192</v>
      </c>
      <c r="E52" s="9" t="s">
        <v>67</v>
      </c>
      <c r="F52" s="12" t="s">
        <v>193</v>
      </c>
      <c r="G52" s="11" cm="1" t="str">
        <f t="array" ref="G52">IF(F52="","",SUBSTITUTE(SUBSTITUTE(SUBSTITUTE(SUBSTITUTE(F52,"&lt;li&gt;",CHAR(10)),"&lt;/li&gt;",""),"&lt;br&gt;",CHAR(10)),"&lt;strong&gt;",""))</f>
        <v>&lt;p&gt;Nouvelle piste créée pour équipe Ventes par Romain Andrieu. Relance effectuée récemment, pas d'autres actions ou retours notés. Aucun échange détaillé, pas de retour prospect sur fonds présentés, prochaines étapes non précisées, suivi à poursuivre.&lt;/p&gt;</v>
      </c>
      <c r="H52" s="11" cm="1" t="str">
        <f t="array" ref="H52">IF(G52="","",SUBSTITUTE(SUBSTITUTE(SUBSTITUTE(SUBSTITUTE(SUBSTITUTE(G52,"&lt;p&gt;",""),"&lt;/p&gt;",""),"&lt;ul&gt;",""),"&lt;/ul&gt;",""),"&lt;/strong&gt;",""))</f>
        <v>Nouvelle piste créée pour équipe Ventes par Romain Andrieu. Relance effectuée récemment, pas d'autres actions ou retours notés. Aucun échange détaillé, pas de retour prospect sur fonds présentés, prochaines étapes non précisées, suivi à poursuivre.</v>
      </c>
      <c r="I52" s="11" cm="1" t="str">
        <f t="array" ref="I52">IF(C52="","",IF(OR(H52="",H52=0,H52=FALSE),"-",H52))</f>
        <v>Nouvelle piste créée pour équipe Ventes par Romain Andrieu. Relance effectuée récemment, pas d'autres actions ou retours notés. Aucun échange détaillé, pas de retour prospect sur fonds présentés, prochaines étapes non précisées, suivi à poursuivre.</v>
      </c>
      <c r="J52" s="12" t="s">
        <v>194</v>
      </c>
      <c r="K52" s="9" t="s">
        <v>69</v>
      </c>
      <c r="L52" s="9" cm="1" t="str">
        <f t="array" ref="L52">IF(C52="","",IF(K52="Mort / Plus rien à faire","KO","OK"))</f>
        <v>OK</v>
      </c>
      <c r="M52" s="13">
        <v>46135.802835648145</v>
      </c>
      <c r="N52" s="13" cm="1" t="n">
        <f t="array" ref="N52">IF(OR(C52="",M52="",M52=0),"",M52)</f>
        <v>46135.802835648145</v>
      </c>
      <c r="O52" s="13">
        <v>46149.083333333336</v>
      </c>
      <c r="P52" s="13" cm="1" t="n">
        <f t="array" ref="P52">IF(C52="","",IF(OR(O52="",O52=0),"-",O52))</f>
        <v>46149.083333333336</v>
      </c>
      <c r="Q52" s="14">
        <v>0</v>
      </c>
      <c r="R52" s="9" cm="1" t="str">
        <f t="array" ref="R52">IF(C52="","",ROUND(Q52/1000000,3)&amp;" M€")</f>
        <v>0 M€</v>
      </c>
      <c r="S52" s="15">
        <v>10</v>
      </c>
      <c r="T52" s="9" cm="1" t="str">
        <f t="array" ref="T52">IF(C52="","",SUBSTITUTE(S52,"","")&amp;"%")</f>
        <v>10%</v>
      </c>
      <c r="U52" s="11" cm="1" t="str">
        <f t="array" ref="U52">IF(($N52="")*($P52=""),"",IF(($N52&lt;&gt;"")*($N52&gt;TODAY()-9)*($N52&lt;TODAY()+1)*($P52&lt;&gt;"")*($P52&gt;=TODAY())*($P52&lt;=TODAY()+13),"Semaine passée &amp; à venir",IF(($N52&lt;&gt;"")*($N52&gt;TODAY()-9)*($N52&lt;TODAY()+1),"Semaine passée",IF(($P52&lt;&gt;"")*($P52&gt;=TODAY())*($P52&lt;=TODAY()+13),"À venir","Autre"))))</f>
        <v>À venir</v>
      </c>
      <c r="V52" cm="1" t="n">
        <f t="array" ref="V52">IF(C52&lt;&gt;"",1,0)</f>
        <v>1</v>
      </c>
    </row>
    <row r="53" ht="78.75" customHeight="1">
      <c r="A53" s="9" t="s">
        <v>23</v>
      </c>
      <c r="B53" s="9" t="s">
        <v>31</v>
      </c>
      <c r="C53" s="10" t="s">
        <v>195</v>
      </c>
      <c r="D53" s="10" t="s">
        <v>196</v>
      </c>
      <c r="E53" s="9" t="s">
        <v>26</v>
      </c>
      <c r="F53" s="12" t="s">
        <v>197</v>
      </c>
      <c r="G53" s="11" cm="1" t="str">
        <f t="array" ref="G53">IF(F53="","",SUBSTITUTE(SUBSTITUTE(SUBSTITUTE(SUBSTITUTE(F53,"&lt;li&gt;",CHAR(10)),"&lt;/li&gt;",""),"&lt;br&gt;",CHAR(10)),"&lt;strong&gt;",""))</f>
        <v>&lt;p&gt;Aucune activité menée sur le prospect. Nouvelle piste créée pour l'équipe Ventes par Edouard Gaurier. Aucun échange, action ou retour prospect enregistré à ce jour. Pas de prochaines étapes identifiées ni de suivi en cours.&lt;/p&gt;</v>
      </c>
      <c r="H53" s="11" cm="1" t="str">
        <f t="array" ref="H53">IF(G53="","",SUBSTITUTE(SUBSTITUTE(SUBSTITUTE(SUBSTITUTE(SUBSTITUTE(G53,"&lt;p&gt;",""),"&lt;/p&gt;",""),"&lt;ul&gt;",""),"&lt;/ul&gt;",""),"&lt;/strong&gt;",""))</f>
        <v>Aucune activité menée sur le prospect. Nouvelle piste créée pour l'équipe Ventes par Edouard Gaurier. Aucun échange, action ou retour prospect enregistré à ce jour. Pas de prochaines étapes identifiées ni de suivi en cours.</v>
      </c>
      <c r="I53" s="11" cm="1" t="str">
        <f t="array" ref="I53">IF(C53="","",IF(OR(H53="",H53=0,H53=FALSE),"-",H53))</f>
        <v>Aucune activité menée sur le prospect. Nouvelle piste créée pour l'équipe Ventes par Edouard Gaurier. Aucun échange, action ou retour prospect enregistré à ce jour. Pas de prochaines étapes identifiées ni de suivi en cours.</v>
      </c>
      <c r="J53" s="12">
</c>
      <c r="K53" s="9" t="s">
        <v>69</v>
      </c>
      <c r="L53" s="9" cm="1" t="str">
        <f t="array" ref="L53">IF(C53="","",IF(K53="Mort / Plus rien à faire","KO","OK"))</f>
        <v>OK</v>
      </c>
      <c r="M53" s="13">
        <v>46139.577685185184</v>
      </c>
      <c r="N53" s="13" cm="1" t="n">
        <f t="array" ref="N53">IF(OR(C53="",M53="",M53=0),"",M53)</f>
        <v>46139.577685185184</v>
      </c>
      <c r="O53" s="13">
</c>
      <c r="P53" s="13" cm="1" t="str">
        <f t="array" ref="P53">IF(C53="","",IF(OR(O53="",O53=0),"-",O53))</f>
        <v>-</v>
      </c>
      <c r="Q53" s="14">
        <v>0</v>
      </c>
      <c r="R53" s="9" cm="1" t="str">
        <f t="array" ref="R53">IF(C53="","",ROUND(Q53/1000000,3)&amp;" M€")</f>
        <v>0 M€</v>
      </c>
      <c r="S53" s="15">
        <v>10</v>
      </c>
      <c r="T53" s="9" cm="1" t="str">
        <f t="array" ref="T53">IF(C53="","",SUBSTITUTE(S53,"","")&amp;"%")</f>
        <v>10%</v>
      </c>
      <c r="U53" s="11" cm="1" t="str">
        <f t="array" ref="U53">IF(($N53="")*($P53=""),"",IF(($N53&lt;&gt;"")*($N53&gt;TODAY()-9)*($N53&lt;TODAY()+1)*($P53&lt;&gt;"")*($P53&gt;=TODAY())*($P53&lt;=TODAY()+13),"Semaine passée &amp; à venir",IF(($N53&lt;&gt;"")*($N53&gt;TODAY()-9)*($N53&lt;TODAY()+1),"Semaine passée",IF(($P53&lt;&gt;"")*($P53&gt;=TODAY())*($P53&lt;=TODAY()+13),"À venir","Autre"))))</f>
        <v>Semaine passée</v>
      </c>
      <c r="V53" cm="1" t="n">
        <f t="array" ref="V53">IF(C53&lt;&gt;"",1,0)</f>
        <v>1</v>
      </c>
    </row>
    <row r="54" ht="78.75" customHeight="1">
      <c r="A54" s="9" t="s">
        <v>23</v>
      </c>
      <c r="B54" s="9" t="s">
        <v>37</v>
      </c>
      <c r="C54" s="10" t="s">
        <v>198</v>
      </c>
      <c r="D54" s="10" t="s">
        <v>199</v>
      </c>
      <c r="E54" s="9" t="s">
        <v>26</v>
      </c>
      <c r="F54" s="12" t="s">
        <v>200</v>
      </c>
      <c r="G54" s="11" cm="1" t="str">
        <f t="array" ref="G54">IF(F54="","",SUBSTITUTE(SUBSTITUTE(SUBSTITUTE(SUBSTITUTE(F54,"&lt;li&gt;",CHAR(10)),"&lt;/li&gt;",""),"&lt;br&gt;",CHAR(10)),"&lt;strong&gt;",""))</f>
        <v>&lt;p&gt;Aucune activité ou échange significatif enregistré sur cette opportunité. Seule information disponible : une nouvelle piste a été créée pour l'équipe "Ventes". Aucun suivi, action ou retour prospect n'apparaît dans l'historique. Pas de prochaines étapes identifiées à ce jour.&lt;/p&gt;</v>
      </c>
      <c r="H54" s="11" cm="1" t="str">
        <f t="array" ref="H54">IF(G54="","",SUBSTITUTE(SUBSTITUTE(SUBSTITUTE(SUBSTITUTE(SUBSTITUTE(G54,"&lt;p&gt;",""),"&lt;/p&gt;",""),"&lt;ul&gt;",""),"&lt;/ul&gt;",""),"&lt;/strong&gt;",""))</f>
        <v>Aucune activité ou échange significatif enregistré sur cette opportunité. Seule information disponible : une nouvelle piste a été créée pour l'équipe "Ventes". Aucun suivi, action ou retour prospect n'apparaît dans l'historique. Pas de prochaines étapes identifiées à ce jour.</v>
      </c>
      <c r="I54" s="11" cm="1" t="str">
        <f t="array" ref="I54">IF(C54="","",IF(OR(H54="",H54=0,H54=FALSE),"-",H54))</f>
        <v>Aucune activité ou échange significatif enregistré sur cette opportunité. Seule information disponible : une nouvelle piste a été créée pour l'équipe "Ventes". Aucun suivi, action ou retour prospect n'apparaît dans l'historique. Pas de prochaines étapes identifiées à ce jour.</v>
      </c>
      <c r="J54" s="12">
</c>
      <c r="K54" s="9" t="s">
        <v>77</v>
      </c>
      <c r="L54" s="9" cm="1" t="str">
        <f t="array" ref="L54">IF(C54="","",IF(K54="Mort / Plus rien à faire","KO","OK"))</f>
        <v>OK</v>
      </c>
      <c r="M54" s="13">
        <v>46056.458020833335</v>
      </c>
      <c r="N54" s="13" cm="1" t="n">
        <f t="array" ref="N54">IF(OR(C54="",M54="",M54=0),"",M54)</f>
        <v>46056.458020833335</v>
      </c>
      <c r="O54" s="13">
</c>
      <c r="P54" s="13" cm="1" t="str">
        <f t="array" ref="P54">IF(C54="","",IF(OR(O54="",O54=0),"-",O54))</f>
        <v>-</v>
      </c>
      <c r="Q54" s="14">
        <v>0</v>
      </c>
      <c r="R54" s="9" cm="1" t="str">
        <f t="array" ref="R54">IF(C54="","",ROUND(Q54/1000000,3)&amp;" M€")</f>
        <v>0 M€</v>
      </c>
      <c r="S54" s="15">
        <v>10</v>
      </c>
      <c r="T54" s="9" cm="1" t="str">
        <f t="array" ref="T54">IF(C54="","",SUBSTITUTE(S54,"","")&amp;"%")</f>
        <v>10%</v>
      </c>
      <c r="U54" s="11" cm="1" t="str">
        <f t="array" ref="U54">IF(($N54="")*($P54=""),"",IF(($N54&lt;&gt;"")*($N54&gt;TODAY()-9)*($N54&lt;TODAY()+1)*($P54&lt;&gt;"")*($P54&gt;=TODAY())*($P54&lt;=TODAY()+13),"Semaine passée &amp; à venir",IF(($N54&lt;&gt;"")*($N54&gt;TODAY()-9)*($N54&lt;TODAY()+1),"Semaine passée",IF(($P54&lt;&gt;"")*($P54&gt;=TODAY())*($P54&lt;=TODAY()+13),"À venir","Autre"))))</f>
        <v>Autre</v>
      </c>
      <c r="V54" cm="1" t="n">
        <f t="array" ref="V54">IF(C54&lt;&gt;"",1,0)</f>
        <v>1</v>
      </c>
    </row>
    <row r="55" ht="78.75" customHeight="1">
      <c r="A55" s="9" t="s">
        <v>23</v>
      </c>
      <c r="B55" s="9" t="s">
        <v>190</v>
      </c>
      <c r="C55" s="10" t="s">
        <v>201</v>
      </c>
      <c r="D55" s="10" t="s">
        <v>202</v>
      </c>
      <c r="E55" s="9" t="s">
        <v>26</v>
      </c>
      <c r="F55" s="12" t="s">
        <v>203</v>
      </c>
      <c r="G55" s="11" cm="1" t="str">
        <f t="array" ref="G55">IF(F55="","",SUBSTITUTE(SUBSTITUTE(SUBSTITUTE(SUBSTITUTE(F55,"&lt;li&gt;",CHAR(10)),"&lt;/li&gt;",""),"&lt;br&gt;",CHAR(10)),"&lt;strong&gt;",""))</f>
        <v>&lt;p&gt;03/02/2026: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v>
      </c>
      <c r="H55" s="11" cm="1" t="str">
        <f t="array" ref="H55">IF(G55="","",SUBSTITUTE(SUBSTITUTE(SUBSTITUTE(SUBSTITUTE(SUBSTITUTE(G55,"&lt;p&gt;",""),"&lt;/p&gt;",""),"&lt;ul&gt;",""),"&lt;/ul&gt;",""),"&lt;/strong&gt;",""))</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I55" s="11" cm="1" t="str">
        <f t="array" ref="I55">IF(C55="","",IF(OR(H55="",H55=0,H55=FALSE),"-",H55))</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J55" s="12">
</c>
      <c r="K55" s="9" t="s">
        <v>46</v>
      </c>
      <c r="L55" s="9" cm="1" t="str">
        <f t="array" ref="L55">IF(C55="","",IF(K55="Mort / Plus rien à faire","KO","OK"))</f>
        <v>OK</v>
      </c>
      <c r="M55" s="13">
        <v>46063.47033564815</v>
      </c>
      <c r="N55" s="13" cm="1" t="n">
        <f t="array" ref="N55">IF(OR(C55="",M55="",M55=0),"",M55)</f>
        <v>46063.47033564815</v>
      </c>
      <c r="O55" s="13">
</c>
      <c r="P55" s="13" cm="1" t="str">
        <f t="array" ref="P55">IF(C55="","",IF(OR(O55="",O55=0),"-",O55))</f>
        <v>-</v>
      </c>
      <c r="Q55" s="14">
        <v>0</v>
      </c>
      <c r="R55" s="9" cm="1" t="str">
        <f t="array" ref="R55">IF(C55="","",ROUND(Q55/1000000,3)&amp;" M€")</f>
        <v>0 M€</v>
      </c>
      <c r="S55" s="15">
        <v>10</v>
      </c>
      <c r="T55" s="9" cm="1" t="str">
        <f t="array" ref="T55">IF(C55="","",SUBSTITUTE(S55,"","")&amp;"%")</f>
        <v>10%</v>
      </c>
      <c r="U55" s="11" cm="1" t="str">
        <f t="array" ref="U55">IF(($N55="")*($P55=""),"",IF(($N55&lt;&gt;"")*($N55&gt;TODAY()-9)*($N55&lt;TODAY()+1)*($P55&lt;&gt;"")*($P55&gt;=TODAY())*($P55&lt;=TODAY()+13),"Semaine passée &amp; à venir",IF(($N55&lt;&gt;"")*($N55&gt;TODAY()-9)*($N55&lt;TODAY()+1),"Semaine passée",IF(($P55&lt;&gt;"")*($P55&gt;=TODAY())*($P55&lt;=TODAY()+13),"À venir","Autre"))))</f>
        <v>Autre</v>
      </c>
      <c r="V55" cm="1" t="n">
        <f t="array" ref="V55">IF(C55&lt;&gt;"",1,0)</f>
        <v>1</v>
      </c>
    </row>
    <row r="56" ht="78.75" customHeight="1">
      <c r="A56" s="9" t="s">
        <v>23</v>
      </c>
      <c r="B56" s="9" t="s">
        <v>24</v>
      </c>
      <c r="C56" s="10" t="s">
        <v>204</v>
      </c>
      <c r="D56" s="10" t="s">
        <v>204</v>
      </c>
      <c r="E56" s="9" t="s">
        <v>67</v>
      </c>
      <c r="F56" s="12" t="s">
        <v>205</v>
      </c>
      <c r="G56" s="11" cm="1" t="str">
        <f t="array" ref="G56">IF(F56="","",SUBSTITUTE(SUBSTITUTE(SUBSTITUTE(SUBSTITUTE(F56,"&lt;li&gt;",CHAR(10)),"&lt;/li&gt;",""),"&lt;br&gt;",CHAR(10)),"&lt;strong&gt;",""))</f>
        <v>&lt;p&gt;Contact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RDV.&lt;/p&gt;</v>
      </c>
      <c r="H56" s="11" cm="1" t="str">
        <f t="array" ref="H56">IF(G56="","",SUBSTITUTE(SUBSTITUTE(SUBSTITUTE(SUBSTITUTE(SUBSTITUTE(G56,"&lt;p&gt;",""),"&lt;/p&gt;",""),"&lt;ul&gt;",""),"&lt;/ul&gt;",""),"&lt;/strong&gt;",""))</f>
        <v>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v>
      </c>
      <c r="I56" s="11" cm="1" t="str">
        <f t="array" ref="I56">IF(C56="","",IF(OR(H56="",H56=0,H56=FALSE),"-",H56))</f>
        <v>Contact initié sur reco Charles Beigbeder, intérêt prospect pour fonds VC deeptech, focus Newspace et Nouveau nucléaire. Premiers éléments envoyés, proposition de rencontre faite. Pas de retour ni d'autres actions ou retours prospect à ce stade. Prochaines étapes : attendre réponse pour RDV.</v>
      </c>
      <c r="J56" s="12">
</c>
      <c r="K56" s="9" t="s">
        <v>69</v>
      </c>
      <c r="L56" s="9" cm="1" t="str">
        <f t="array" ref="L56">IF(C56="","",IF(K56="Mort / Plus rien à faire","KO","OK"))</f>
        <v>OK</v>
      </c>
      <c r="M56" s="13">
        <v>46142.7166087963</v>
      </c>
      <c r="N56" s="13" cm="1" t="n">
        <f t="array" ref="N56">IF(OR(C56="",M56="",M56=0),"",M56)</f>
        <v>46142.7166087963</v>
      </c>
      <c r="O56" s="13">
</c>
      <c r="P56" s="13" cm="1" t="str">
        <f t="array" ref="P56">IF(C56="","",IF(OR(O56="",O56=0),"-",O56))</f>
        <v>-</v>
      </c>
      <c r="Q56" s="14">
        <v>0</v>
      </c>
      <c r="R56" s="9" cm="1" t="str">
        <f t="array" ref="R56">IF(C56="","",ROUND(Q56/1000000,3)&amp;" M€")</f>
        <v>0 M€</v>
      </c>
      <c r="S56" s="15">
        <v>10</v>
      </c>
      <c r="T56" s="9" cm="1" t="str">
        <f t="array" ref="T56">IF(C56="","",SUBSTITUTE(S56,"","")&amp;"%")</f>
        <v>10%</v>
      </c>
      <c r="U56" s="11" cm="1" t="str">
        <f t="array" ref="U56">IF(($N56="")*($P56=""),"",IF(($N56&lt;&gt;"")*($N56&gt;TODAY()-9)*($N56&lt;TODAY()+1)*($P56&lt;&gt;"")*($P56&gt;=TODAY())*($P56&lt;=TODAY()+13),"Semaine passée &amp; à venir",IF(($N56&lt;&gt;"")*($N56&gt;TODAY()-9)*($N56&lt;TODAY()+1),"Semaine passée",IF(($P56&lt;&gt;"")*($P56&gt;=TODAY())*($P56&lt;=TODAY()+13),"À venir","Autre"))))</f>
        <v>Semaine passée</v>
      </c>
      <c r="V56" cm="1" t="n">
        <f t="array" ref="V56">IF(C56&lt;&gt;"",1,0)</f>
        <v>1</v>
      </c>
    </row>
    <row r="57" ht="78.75" customHeight="1">
      <c r="A57" s="9" t="s">
        <v>23</v>
      </c>
      <c r="B57" s="9" t="s">
        <v>24</v>
      </c>
      <c r="C57" s="10" t="s">
        <v>206</v>
      </c>
      <c r="D57" s="10" t="s">
        <v>206</v>
      </c>
      <c r="E57" s="9" t="s">
        <v>26</v>
      </c>
      <c r="F57" s="12" t="s">
        <v>207</v>
      </c>
      <c r="G57" s="11" cm="1" t="str">
        <f t="array" ref="G57">IF(F57="","",SUBSTITUTE(SUBSTITUTE(SUBSTITUTE(SUBSTITUTE(F57,"&lt;li&gt;",CHAR(10)),"&lt;/li&gt;",""),"&lt;br&gt;",CHAR(10)),"&lt;strong&gt;",""))</f>
        <v>&lt;p&gt;RDV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suivi.&lt;/p&gt;</v>
      </c>
      <c r="H57" s="11" cm="1" t="str">
        <f t="array" ref="H57">IF(G57="","",SUBSTITUTE(SUBSTITUTE(SUBSTITUTE(SUBSTITUTE(SUBSTITUTE(G57,"&lt;p&gt;",""),"&lt;/p&gt;",""),"&lt;ul&gt;",""),"&lt;/ul&gt;",""),"&lt;/strong&gt;",""))</f>
        <v>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v>
      </c>
      <c r="I57" s="11" cm="1" t="str">
        <f t="array" ref="I57">IF(C57="","",IF(OR(H57="",H57=0,H57=FALSE),"-",H57))</f>
        <v>RDV physique réalisé pour fonds XXXX, échanges avec prospect, synthèse non détaillée, prochaines étapes mentionnées mais non précisées. Aucun retour explicite du prospect sur les fonds. Pas d'autres activités récentes, pas de nouvelles actions planifiées identifiées dans le suivi.</v>
      </c>
      <c r="J57" s="12">
</c>
      <c r="K57" s="9" t="s">
        <v>77</v>
      </c>
      <c r="L57" s="9" cm="1" t="str">
        <f t="array" ref="L57">IF(C57="","",IF(K57="Mort / Plus rien à faire","KO","OK"))</f>
        <v>OK</v>
      </c>
      <c r="M57" s="13">
        <v>46056.454733796294</v>
      </c>
      <c r="N57" s="13" cm="1" t="n">
        <f t="array" ref="N57">IF(OR(C57="",M57="",M57=0),"",M57)</f>
        <v>46056.454733796294</v>
      </c>
      <c r="O57" s="13">
</c>
      <c r="P57" s="13" cm="1" t="str">
        <f t="array" ref="P57">IF(C57="","",IF(OR(O57="",O57=0),"-",O57))</f>
        <v>-</v>
      </c>
      <c r="Q57" s="14">
        <v>0</v>
      </c>
      <c r="R57" s="9" cm="1" t="str">
        <f t="array" ref="R57">IF(C57="","",ROUND(Q57/1000000,3)&amp;" M€")</f>
        <v>0 M€</v>
      </c>
      <c r="S57" s="15">
        <v>10</v>
      </c>
      <c r="T57" s="9" cm="1" t="str">
        <f t="array" ref="T57">IF(C57="","",SUBSTITUTE(S57,"","")&amp;"%")</f>
        <v>10%</v>
      </c>
      <c r="U57" s="11" cm="1" t="str">
        <f t="array" ref="U57">IF(($N57="")*($P57=""),"",IF(($N57&lt;&gt;"")*($N57&gt;TODAY()-9)*($N57&lt;TODAY()+1)*($P57&lt;&gt;"")*($P57&gt;=TODAY())*($P57&lt;=TODAY()+13),"Semaine passée &amp; à venir",IF(($N57&lt;&gt;"")*($N57&gt;TODAY()-9)*($N57&lt;TODAY()+1),"Semaine passée",IF(($P57&lt;&gt;"")*($P57&gt;=TODAY())*($P57&lt;=TODAY()+13),"À venir","Autre"))))</f>
        <v>Autre</v>
      </c>
      <c r="V57" cm="1" t="n">
        <f t="array" ref="V57">IF(C57&lt;&gt;"",1,0)</f>
        <v>1</v>
      </c>
    </row>
    <row r="58" ht="78.75" customHeight="1">
      <c r="A58" s="9" t="s">
        <v>23</v>
      </c>
      <c r="B58" s="9">
</c>
      <c r="C58" s="10" t="s">
        <v>208</v>
      </c>
      <c r="D58" s="10" t="s">
        <v>209</v>
      </c>
      <c r="E58" s="9" t="s">
        <v>79</v>
      </c>
      <c r="F58" s="12" t="s">
        <v>210</v>
      </c>
      <c r="G58" s="11" cm="1" t="str">
        <f t="array" ref="G58">IF(F58="","",SUBSTITUTE(SUBSTITUTE(SUBSTITUTE(SUBSTITUTE(F58,"&lt;li&gt;",CHAR(10)),"&lt;/li&gt;",""),"&lt;br&gt;",CHAR(10)),"&lt;strong&gt;",""))</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récentes.&lt;/p&gt;</v>
      </c>
      <c r="H58" s="11" cm="1" t="str">
        <f t="array" ref="H58">IF(G58="","",SUBSTITUTE(SUBSTITUTE(SUBSTITUTE(SUBSTITUTE(SUBSTITUTE(G58,"&lt;p&gt;",""),"&lt;/p&gt;",""),"&lt;ul&gt;",""),"&lt;/ul&gt;",""),"&lt;/strong&gt;",""))</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v>
      </c>
      <c r="I58" s="11" cm="1" t="str">
        <f t="array" ref="I58">IF(C58="","",IF(OR(H58="",H58=0,H58=FALSE),"-",H58))</f>
        <v>&lt;p data-oe-version="2.0"&gt;Deck envoyé après rencontre Charles/Laurent, suite à création piste équipe Ventes. Suivi : contacter Thomas Riche Poussin à Londres pour poursuivre discussion fonds de fonds. Derniers échanges : lead LG/LG. Prochaine étape : prise de contact Londres. Pas d'autres actions récentes.</v>
      </c>
      <c r="J58" s="12">
</c>
      <c r="K58" s="9" t="s">
        <v>46</v>
      </c>
      <c r="L58" s="9" cm="1" t="str">
        <f t="array" ref="L58">IF(C58="","",IF(K58="Mort / Plus rien à faire","KO","OK"))</f>
        <v>OK</v>
      </c>
      <c r="M58" s="13">
        <v>46141.59106481481</v>
      </c>
      <c r="N58" s="13" cm="1" t="n">
        <f t="array" ref="N58">IF(OR(C58="",M58="",M58=0),"",M58)</f>
        <v>46141.59106481481</v>
      </c>
      <c r="O58" s="13">
</c>
      <c r="P58" s="13" cm="1" t="str">
        <f t="array" ref="P58">IF(C58="","",IF(OR(O58="",O58=0),"-",O58))</f>
        <v>-</v>
      </c>
      <c r="Q58" s="14">
        <v>0</v>
      </c>
      <c r="R58" s="9" cm="1" t="str">
        <f t="array" ref="R58">IF(C58="","",ROUND(Q58/1000000,3)&amp;" M€")</f>
        <v>0 M€</v>
      </c>
      <c r="S58" s="15">
        <v>10</v>
      </c>
      <c r="T58" s="9" cm="1" t="str">
        <f t="array" ref="T58">IF(C58="","",SUBSTITUTE(S58,"","")&amp;"%")</f>
        <v>10%</v>
      </c>
      <c r="U58" s="11" cm="1" t="str">
        <f t="array" ref="U58">IF(($N58="")*($P58=""),"",IF(($N58&lt;&gt;"")*($N58&gt;TODAY()-9)*($N58&lt;TODAY()+1)*($P58&lt;&gt;"")*($P58&gt;=TODAY())*($P58&lt;=TODAY()+13),"Semaine passée &amp; à venir",IF(($N58&lt;&gt;"")*($N58&gt;TODAY()-9)*($N58&lt;TODAY()+1),"Semaine passée",IF(($P58&lt;&gt;"")*($P58&gt;=TODAY())*($P58&lt;=TODAY()+13),"À venir","Autre"))))</f>
        <v>Semaine passée</v>
      </c>
      <c r="V58" cm="1" t="n">
        <f t="array" ref="V58">IF(C58&lt;&gt;"",1,0)</f>
        <v>1</v>
      </c>
    </row>
    <row r="59" ht="78.75" customHeight="1">
      <c r="A59" s="9" t="s">
        <v>23</v>
      </c>
      <c r="B59" s="9" t="s">
        <v>37</v>
      </c>
      <c r="C59" s="10" t="s">
        <v>211</v>
      </c>
      <c r="D59" s="10" t="s">
        <v>212</v>
      </c>
      <c r="E59" s="9" t="s">
        <v>26</v>
      </c>
      <c r="F59" s="12" t="s">
        <v>213</v>
      </c>
      <c r="G59" s="11" cm="1" t="str">
        <f t="array" ref="G59">IF(F59="","",SUBSTITUTE(SUBSTITUTE(SUBSTITUTE(SUBSTITUTE(F59,"&lt;li&gt;",CHAR(10)),"&lt;/li&gt;",""),"&lt;br&gt;",CHAR(10)),"&lt;strong&gt;",""))</f>
        <v>&lt;p&gt;25/02/2026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prévoir.&lt;/p&gt;</v>
      </c>
      <c r="H59" s="11" cm="1" t="str">
        <f t="array" ref="H59">IF(G59="","",SUBSTITUTE(SUBSTITUTE(SUBSTITUTE(SUBSTITUTE(SUBSTITUTE(G59,"&lt;p&gt;",""),"&lt;/p&gt;",""),"&lt;ul&gt;",""),"&lt;/ul&gt;",""),"&lt;/strong&gt;",""))</f>
        <v>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v>
      </c>
      <c r="I59" s="11" cm="1" t="str">
        <f t="array" ref="I59">IF(C59="","",IF(OR(H59="",H59=0,H59=FALSE),"-",H59))</f>
        <v>25/02/2026 call avec Nicolas Meyer pour organiser rencontre à Paris, cible clients HNWI. 17/04/2026 présentation Norman K Luxembourg, mandat pris pour une cliente potentiellement intéressée par Géodesic, diversification probable 400K. Prochaine étape&amp;nbsp;: rencontre physique à prévoir.</v>
      </c>
      <c r="J59" s="12" t="s">
        <v>214</v>
      </c>
      <c r="K59" s="9" t="s">
        <v>46</v>
      </c>
      <c r="L59" s="9" cm="1" t="str">
        <f t="array" ref="L59">IF(C59="","",IF(K59="Mort / Plus rien à faire","KO","OK"))</f>
        <v>OK</v>
      </c>
      <c r="M59" s="13">
        <v>46127.69924768519</v>
      </c>
      <c r="N59" s="13" cm="1" t="n">
        <f t="array" ref="N59">IF(OR(C59="",M59="",M59=0),"",M59)</f>
        <v>46127.69924768519</v>
      </c>
      <c r="O59" s="13">
</c>
      <c r="P59" s="13" cm="1" t="str">
        <f t="array" ref="P59">IF(C59="","",IF(OR(O59="",O59=0),"-",O59))</f>
        <v>-</v>
      </c>
      <c r="Q59" s="14">
        <v>400000</v>
      </c>
      <c r="R59" s="9" cm="1" t="str">
        <f t="array" ref="R59">IF(C59="","",ROUND(Q59/1000000,3)&amp;" M€")</f>
        <v>0.4 M€</v>
      </c>
      <c r="S59" s="15">
        <v>10</v>
      </c>
      <c r="T59" s="9" cm="1" t="str">
        <f t="array" ref="T59">IF(C59="","",SUBSTITUTE(S59,"","")&amp;"%")</f>
        <v>10%</v>
      </c>
      <c r="U59" s="11" cm="1" t="str">
        <f t="array" ref="U59">IF(($N59="")*($P59=""),"",IF(($N59&lt;&gt;"")*($N59&gt;TODAY()-9)*($N59&lt;TODAY()+1)*($P59&lt;&gt;"")*($P59&gt;=TODAY())*($P59&lt;=TODAY()+13),"Semaine passée &amp; à venir",IF(($N59&lt;&gt;"")*($N59&gt;TODAY()-9)*($N59&lt;TODAY()+1),"Semaine passée",IF(($P59&lt;&gt;"")*($P59&gt;=TODAY())*($P59&lt;=TODAY()+13),"À venir","Autre"))))</f>
        <v>Autre</v>
      </c>
      <c r="V59" cm="1" t="n">
        <f t="array" ref="V59">IF(C59&lt;&gt;"",1,0)</f>
        <v>1</v>
      </c>
    </row>
    <row r="60" ht="78.75" customHeight="1">
      <c r="A60" s="9" t="s">
        <v>23</v>
      </c>
      <c r="B60" s="9" t="s">
        <v>31</v>
      </c>
      <c r="C60" s="10" t="s">
        <v>215</v>
      </c>
      <c r="D60" s="10" t="s">
        <v>216</v>
      </c>
      <c r="E60" s="9" t="s">
        <v>26</v>
      </c>
      <c r="F60" s="12" t="s">
        <v>217</v>
      </c>
      <c r="G60" s="11" cm="1" t="str">
        <f t="array" ref="G60">IF(F60="","",SUBSTITUTE(SUBSTITUTE(SUBSTITUTE(SUBSTITUTE(F60,"&lt;li&gt;",CHAR(10)),"&lt;/li&gt;",""),"&lt;br&gt;",CHAR(10)),"&lt;strong&gt;",""))</f>
        <v>&lt;p&gt;25/02/26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v>
      </c>
      <c r="H60" s="11" cm="1" t="str">
        <f t="array" ref="H60">IF(G60="","",SUBSTITUTE(SUBSTITUTE(SUBSTITUTE(SUBSTITUTE(SUBSTITUTE(G60,"&lt;p&gt;",""),"&lt;/p&gt;",""),"&lt;ul&gt;",""),"&lt;/ul&gt;",""),"&lt;/strong&gt;",""))</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I60" s="11" cm="1" t="str">
        <f t="array" ref="I60">IF(C60="","",IF(OR(H60="",H60=0,H60=FALSE),"-",H60))</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J60" s="12">
</c>
      <c r="K60" s="9" t="s">
        <v>46</v>
      </c>
      <c r="L60" s="9" cm="1" t="str">
        <f t="array" ref="L60">IF(C60="","",IF(K60="Mort / Plus rien à faire","KO","OK"))</f>
        <v>OK</v>
      </c>
      <c r="M60" s="13">
        <v>46083.467465277776</v>
      </c>
      <c r="N60" s="13" cm="1" t="n">
        <f t="array" ref="N60">IF(OR(C60="",M60="",M60=0),"",M60)</f>
        <v>46083.467465277776</v>
      </c>
      <c r="O60" s="13">
</c>
      <c r="P60" s="13" cm="1" t="str">
        <f t="array" ref="P60">IF(C60="","",IF(OR(O60="",O60=0),"-",O60))</f>
        <v>-</v>
      </c>
      <c r="Q60" s="14">
        <v>0</v>
      </c>
      <c r="R60" s="9" cm="1" t="str">
        <f t="array" ref="R60">IF(C60="","",ROUND(Q60/1000000,3)&amp;" M€")</f>
        <v>0 M€</v>
      </c>
      <c r="S60" s="15">
        <v>10</v>
      </c>
      <c r="T60" s="9" cm="1" t="str">
        <f t="array" ref="T60">IF(C60="","",SUBSTITUTE(S60,"","")&amp;"%")</f>
        <v>10%</v>
      </c>
      <c r="U60" s="11" cm="1" t="str">
        <f t="array" ref="U60">IF(($N60="")*($P60=""),"",IF(($N60&lt;&gt;"")*($N60&gt;TODAY()-9)*($N60&lt;TODAY()+1)*($P60&lt;&gt;"")*($P60&gt;=TODAY())*($P60&lt;=TODAY()+13),"Semaine passée &amp; à venir",IF(($N60&lt;&gt;"")*($N60&gt;TODAY()-9)*($N60&lt;TODAY()+1),"Semaine passée",IF(($P60&lt;&gt;"")*($P60&gt;=TODAY())*($P60&lt;=TODAY()+13),"À venir","Autre"))))</f>
        <v>Autre</v>
      </c>
      <c r="V60" cm="1" t="n">
        <f t="array" ref="V60">IF(C60&lt;&gt;"",1,0)</f>
        <v>1</v>
      </c>
    </row>
    <row r="61" ht="78.75" customHeight="1">
      <c r="A61" s="9" t="s">
        <v>23</v>
      </c>
      <c r="B61" s="9" t="s">
        <v>24</v>
      </c>
      <c r="C61" s="10" t="s">
        <v>218</v>
      </c>
      <c r="D61" s="10" t="s">
        <v>219</v>
      </c>
      <c r="E61" s="9" t="s">
        <v>26</v>
      </c>
      <c r="F61" s="12" t="s">
        <v>220</v>
      </c>
      <c r="G61" s="11" cm="1" t="str">
        <f t="array" ref="G61">IF(F61="","",SUBSTITUTE(SUBSTITUTE(SUBSTITUTE(SUBSTITUTE(F61,"&lt;li&gt;",CHAR(10)),"&lt;/li&gt;",""),"&lt;br&gt;",CHAR(10)),"&lt;strong&gt;",""))</f>
        <v>&lt;p&gt;Nouvelle piste créée pour équipe Ventes. Client évoque remploi possible Straton et géodésie, montant 450K. Pas d'autres échanges, activités ou retours prospect sur fonds présentés. Prochaines étapes non précisées, aucune activité planifiée à ce jour.&lt;/p&gt;</v>
      </c>
      <c r="H61" s="11" cm="1" t="str">
        <f t="array" ref="H61">IF(G61="","",SUBSTITUTE(SUBSTITUTE(SUBSTITUTE(SUBSTITUTE(SUBSTITUTE(G61,"&lt;p&gt;",""),"&lt;/p&gt;",""),"&lt;ul&gt;",""),"&lt;/ul&gt;",""),"&lt;/strong&gt;",""))</f>
        <v>Nouvelle piste créée pour équipe Ventes. Client évoque remploi possible Straton et géodésie, montant 450K. Pas d'autres échanges, activités ou retours prospect sur fonds présentés. Prochaines étapes non précisées, aucune activité planifiée à ce jour.</v>
      </c>
      <c r="I61" s="11" cm="1" t="str">
        <f t="array" ref="I61">IF(C61="","",IF(OR(H61="",H61=0,H61=FALSE),"-",H61))</f>
        <v>Nouvelle piste créée pour équipe Ventes. Client évoque remploi possible Straton et géodésie, montant 450K. Pas d'autres échanges, activités ou retours prospect sur fonds présentés. Prochaines étapes non précisées, aucune activité planifiée à ce jour.</v>
      </c>
      <c r="J61" s="12">
</c>
      <c r="K61" s="9" t="s">
        <v>46</v>
      </c>
      <c r="L61" s="9" cm="1" t="str">
        <f t="array" ref="L61">IF(C61="","",IF(K61="Mort / Plus rien à faire","KO","OK"))</f>
        <v>OK</v>
      </c>
      <c r="M61" s="13">
        <v>46129.709386574075</v>
      </c>
      <c r="N61" s="13" cm="1" t="n">
        <f t="array" ref="N61">IF(OR(C61="",M61="",M61=0),"",M61)</f>
        <v>46129.709386574075</v>
      </c>
      <c r="O61" s="13">
</c>
      <c r="P61" s="13" cm="1" t="str">
        <f t="array" ref="P61">IF(C61="","",IF(OR(O61="",O61=0),"-",O61))</f>
        <v>-</v>
      </c>
      <c r="Q61" s="14">
        <v>450000</v>
      </c>
      <c r="R61" s="9" cm="1" t="str">
        <f t="array" ref="R61">IF(C61="","",ROUND(Q61/1000000,3)&amp;" M€")</f>
        <v>0.45 M€</v>
      </c>
      <c r="S61" s="15">
        <v>10</v>
      </c>
      <c r="T61" s="9" cm="1" t="str">
        <f t="array" ref="T61">IF(C61="","",SUBSTITUTE(S61,"","")&amp;"%")</f>
        <v>10%</v>
      </c>
      <c r="U61" s="11" cm="1" t="str">
        <f t="array" ref="U61">IF(($N61="")*($P61=""),"",IF(($N61&lt;&gt;"")*($N61&gt;TODAY()-9)*($N61&lt;TODAY()+1)*($P61&lt;&gt;"")*($P61&gt;=TODAY())*($P61&lt;=TODAY()+13),"Semaine passée &amp; à venir",IF(($N61&lt;&gt;"")*($N61&gt;TODAY()-9)*($N61&lt;TODAY()+1),"Semaine passée",IF(($P61&lt;&gt;"")*($P61&gt;=TODAY())*($P61&lt;=TODAY()+13),"À venir","Autre"))))</f>
        <v>Autre</v>
      </c>
      <c r="V61" cm="1" t="n">
        <f t="array" ref="V61">IF(C61&lt;&gt;"",1,0)</f>
        <v>1</v>
      </c>
    </row>
    <row r="62" ht="78.75" customHeight="1">
      <c r="A62" s="9" t="s">
        <v>23</v>
      </c>
      <c r="B62" s="9" t="s">
        <v>180</v>
      </c>
      <c r="C62" s="10" t="s">
        <v>221</v>
      </c>
      <c r="D62" s="10" t="s">
        <v>222</v>
      </c>
      <c r="E62" s="9" t="s">
        <v>67</v>
      </c>
      <c r="F62" s="12" t="s">
        <v>223</v>
      </c>
      <c r="G62" s="11" cm="1" t="str">
        <f t="array" ref="G62">IF(F62="","",SUBSTITUTE(SUBSTITUTE(SUBSTITUTE(SUBSTITUTE(F62,"&lt;li&gt;",CHAR(10)),"&lt;/li&gt;",""),"&lt;br&gt;",CHAR(10)),"&lt;strong&gt;",""))</f>
        <v>&lt;p&gt;10/04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FPCI/SLP.&lt;/p&gt;</v>
      </c>
      <c r="H62" s="11" cm="1" t="str">
        <f t="array" ref="H62">IF(G62="","",SUBSTITUTE(SUBSTITUTE(SUBSTITUTE(SUBSTITUTE(SUBSTITUTE(G62,"&lt;p&gt;",""),"&lt;/p&gt;",""),"&lt;ul&gt;",""),"&lt;/ul&gt;",""),"&lt;/strong&gt;",""))</f>
        <v>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v>
      </c>
      <c r="I62" s="11" cm="1" t="str">
        <f t="array" ref="I62">IF(C62="","",IF(OR(H62="",H62=0,H62=FALSE),"-",H62))</f>
        <v>10/04 : Présentation offre financement PE à Natixis Wealth. Discussion sur référencement fonds, conditions : 3M€ cash min, collatéral 30-40%, prêt unique 10M€, process 2 mois. Prochaines étapes : envoyer decks VC+Straton pour revue KYC, tester présentation offre à client, vérifier prise en colla FPCI/SLP.</v>
      </c>
      <c r="J62" s="12" t="s">
        <v>224</v>
      </c>
      <c r="K62" s="9" t="s">
        <v>46</v>
      </c>
      <c r="L62" s="9" cm="1" t="str">
        <f t="array" ref="L62">IF(C62="","",IF(K62="Mort / Plus rien à faire","KO","OK"))</f>
        <v>OK</v>
      </c>
      <c r="M62" s="13">
        <v>46122.508518518516</v>
      </c>
      <c r="N62" s="13" cm="1" t="n">
        <f t="array" ref="N62">IF(OR(C62="",M62="",M62=0),"",M62)</f>
        <v>46122.508518518516</v>
      </c>
      <c r="O62" s="13">
</c>
      <c r="P62" s="13" cm="1" t="str">
        <f t="array" ref="P62">IF(C62="","",IF(OR(O62="",O62=0),"-",O62))</f>
        <v>-</v>
      </c>
      <c r="Q62" s="14">
        <v>0</v>
      </c>
      <c r="R62" s="9" cm="1" t="str">
        <f t="array" ref="R62">IF(C62="","",ROUND(Q62/1000000,3)&amp;" M€")</f>
        <v>0 M€</v>
      </c>
      <c r="S62" s="15">
        <v>10</v>
      </c>
      <c r="T62" s="9" cm="1" t="str">
        <f t="array" ref="T62">IF(C62="","",SUBSTITUTE(S62,"","")&amp;"%")</f>
        <v>10%</v>
      </c>
      <c r="U62" s="11" cm="1" t="str">
        <f t="array" ref="U62">IF(($N62="")*($P62=""),"",IF(($N62&lt;&gt;"")*($N62&gt;TODAY()-9)*($N62&lt;TODAY()+1)*($P62&lt;&gt;"")*($P62&gt;=TODAY())*($P62&lt;=TODAY()+13),"Semaine passée &amp; à venir",IF(($N62&lt;&gt;"")*($N62&gt;TODAY()-9)*($N62&lt;TODAY()+1),"Semaine passée",IF(($P62&lt;&gt;"")*($P62&gt;=TODAY())*($P62&lt;=TODAY()+13),"À venir","Autre"))))</f>
        <v>Autre</v>
      </c>
      <c r="V62" cm="1" t="n">
        <f t="array" ref="V62">IF(C62&lt;&gt;"",1,0)</f>
        <v>1</v>
      </c>
    </row>
    <row r="63" ht="78.75" customHeight="1">
      <c r="A63" s="9" t="s">
        <v>23</v>
      </c>
      <c r="B63" s="9" t="s">
        <v>47</v>
      </c>
      <c r="C63" s="10" t="s">
        <v>225</v>
      </c>
      <c r="D63" s="10" t="s">
        <v>226</v>
      </c>
      <c r="E63" s="9" t="s">
        <v>26</v>
      </c>
      <c r="F63" s="12" t="s">
        <v>227</v>
      </c>
      <c r="G63" s="11" cm="1" t="str">
        <f t="array" ref="G63">IF(F63="","",SUBSTITUTE(SUBSTITUTE(SUBSTITUTE(SUBSTITUTE(F63,"&lt;li&gt;",CHAR(10)),"&lt;/li&gt;",""),"&lt;br&gt;",CHAR(10)),"&lt;strong&gt;",""))</f>
        <v>&lt;p&gt;Appel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v>
      </c>
      <c r="H63" s="11" cm="1" t="str">
        <f t="array" ref="H63">IF(G63="","",SUBSTITUTE(SUBSTITUTE(SUBSTITUTE(SUBSTITUTE(SUBSTITUTE(G63,"&lt;p&gt;",""),"&lt;/p&gt;",""),"&lt;ul&gt;",""),"&lt;/ul&gt;",""),"&lt;/strong&gt;",""))</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I63" s="11" cm="1" t="str">
        <f t="array" ref="I63">IF(C63="","",IF(OR(H63="",H63=0,H63=FALSE),"-",H63))</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J63" s="12">
</c>
      <c r="K63" s="9" t="s">
        <v>77</v>
      </c>
      <c r="L63" s="9" cm="1" t="str">
        <f t="array" ref="L63">IF(C63="","",IF(K63="Mort / Plus rien à faire","KO","OK"))</f>
        <v>OK</v>
      </c>
      <c r="M63" s="13">
        <v>45960.62489583333</v>
      </c>
      <c r="N63" s="13" cm="1" t="n">
        <f t="array" ref="N63">IF(OR(C63="",M63="",M63=0),"",M63)</f>
        <v>45960.62489583333</v>
      </c>
      <c r="O63" s="13">
</c>
      <c r="P63" s="13" cm="1" t="str">
        <f t="array" ref="P63">IF(C63="","",IF(OR(O63="",O63=0),"-",O63))</f>
        <v>-</v>
      </c>
      <c r="Q63" s="14">
        <v>0</v>
      </c>
      <c r="R63" s="9" cm="1" t="str">
        <f t="array" ref="R63">IF(C63="","",ROUND(Q63/1000000,3)&amp;" M€")</f>
        <v>0 M€</v>
      </c>
      <c r="S63" s="15">
        <v>10</v>
      </c>
      <c r="T63" s="9" cm="1" t="str">
        <f t="array" ref="T63">IF(C63="","",SUBSTITUTE(S63,"","")&amp;"%")</f>
        <v>10%</v>
      </c>
      <c r="U63" s="11" cm="1" t="str">
        <f t="array" ref="U63">IF(($N63="")*($P63=""),"",IF(($N63&lt;&gt;"")*($N63&gt;TODAY()-9)*($N63&lt;TODAY()+1)*($P63&lt;&gt;"")*($P63&gt;=TODAY())*($P63&lt;=TODAY()+13),"Semaine passée &amp; à venir",IF(($N63&lt;&gt;"")*($N63&gt;TODAY()-9)*($N63&lt;TODAY()+1),"Semaine passée",IF(($P63&lt;&gt;"")*($P63&gt;=TODAY())*($P63&lt;=TODAY()+13),"À venir","Autre"))))</f>
        <v>Autre</v>
      </c>
      <c r="V63" cm="1" t="n">
        <f t="array" ref="V63">IF(C63&lt;&gt;"",1,0)</f>
        <v>1</v>
      </c>
    </row>
    <row r="64" ht="78.75" customHeight="1">
      <c r="A64" s="9" t="s">
        <v>23</v>
      </c>
      <c r="B64" s="9" t="s">
        <v>37</v>
      </c>
      <c r="C64" s="10" t="s">
        <v>228</v>
      </c>
      <c r="D64" s="10" t="s">
        <v>229</v>
      </c>
      <c r="E64" s="9" t="s">
        <v>26</v>
      </c>
      <c r="F64" s="12" t="s">
        <v>230</v>
      </c>
      <c r="G64" s="11" cm="1" t="str">
        <f t="array" ref="G64">IF(F64="","",SUBSTITUTE(SUBSTITUTE(SUBSTITUTE(SUBSTITUTE(F64,"&lt;li&gt;",CHAR(10)),"&lt;/li&gt;",""),"&lt;br&gt;",CHAR(10)),"&lt;strong&gt;",""))</f>
        <v>&lt;p&gt;Relance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v>
      </c>
      <c r="H64" s="11" cm="1" t="str">
        <f t="array" ref="H64">IF(G64="","",SUBSTITUTE(SUBSTITUTE(SUBSTITUTE(SUBSTITUTE(SUBSTITUTE(G64,"&lt;p&gt;",""),"&lt;/p&gt;",""),"&lt;ul&gt;",""),"&lt;/ul&gt;",""),"&lt;/strong&gt;",""))</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I64" s="11" cm="1" t="str">
        <f t="array" ref="I64">IF(C64="","",IF(OR(H64="",H64=0,H64=FALSE),"-",H64))</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J64" s="12">
</c>
      <c r="K64" s="9" t="s">
        <v>46</v>
      </c>
      <c r="L64" s="9" cm="1" t="str">
        <f t="array" ref="L64">IF(C64="","",IF(K64="Mort / Plus rien à faire","KO","OK"))</f>
        <v>OK</v>
      </c>
      <c r="M64" s="13">
        <v>46111.59444444445</v>
      </c>
      <c r="N64" s="13" cm="1" t="n">
        <f t="array" ref="N64">IF(OR(C64="",M64="",M64=0),"",M64)</f>
        <v>46111.59444444445</v>
      </c>
      <c r="O64" s="13">
</c>
      <c r="P64" s="13" cm="1" t="str">
        <f t="array" ref="P64">IF(C64="","",IF(OR(O64="",O64=0),"-",O64))</f>
        <v>-</v>
      </c>
      <c r="Q64" s="14">
        <v>0</v>
      </c>
      <c r="R64" s="9" cm="1" t="str">
        <f t="array" ref="R64">IF(C64="","",ROUND(Q64/1000000,3)&amp;" M€")</f>
        <v>0 M€</v>
      </c>
      <c r="S64" s="15">
        <v>10</v>
      </c>
      <c r="T64" s="9" cm="1" t="str">
        <f t="array" ref="T64">IF(C64="","",SUBSTITUTE(S64,"","")&amp;"%")</f>
        <v>10%</v>
      </c>
      <c r="U64" s="11" cm="1" t="str">
        <f t="array" ref="U64">IF(($N64="")*($P64=""),"",IF(($N64&lt;&gt;"")*($N64&gt;TODAY()-9)*($N64&lt;TODAY()+1)*($P64&lt;&gt;"")*($P64&gt;=TODAY())*($P64&lt;=TODAY()+13),"Semaine passée &amp; à venir",IF(($N64&lt;&gt;"")*($N64&gt;TODAY()-9)*($N64&lt;TODAY()+1),"Semaine passée",IF(($P64&lt;&gt;"")*($P64&gt;=TODAY())*($P64&lt;=TODAY()+13),"À venir","Autre"))))</f>
        <v>Autre</v>
      </c>
      <c r="V64" cm="1" t="n">
        <f t="array" ref="V64">IF(C64&lt;&gt;"",1,0)</f>
        <v>1</v>
      </c>
    </row>
    <row r="65" ht="78.75" customHeight="1">
      <c r="A65" s="9" t="s">
        <v>23</v>
      </c>
      <c r="B65" s="9" t="s">
        <v>102</v>
      </c>
      <c r="C65" s="10" t="s">
        <v>231</v>
      </c>
      <c r="D65" s="10" t="s">
        <v>232</v>
      </c>
      <c r="E65" s="9" t="s">
        <v>26</v>
      </c>
      <c r="F65" s="12" t="s">
        <v>233</v>
      </c>
      <c r="G65" s="11" cm="1" t="str">
        <f t="array" ref="G65">IF(F65="","",SUBSTITUTE(SUBSTITUTE(SUBSTITUTE(SUBSTITUTE(F65,"&lt;li&gt;",CHAR(10)),"&lt;/li&gt;",""),"&lt;br&gt;",CHAR(10)),"&lt;strong&gt;",""))</f>
        <v>&lt;p&gt;Nouvelle piste créée pour équipe Ventes. Tentative d'enrichissement échouée (email non valide). Discussion reprise sur fonds Audacia, pas de retour prospect ni action complémentaire mentionnée. Aucune activité ou prochaine étape planifiée identifiée à ce jour.&lt;/p&gt;</v>
      </c>
      <c r="H65" s="11" cm="1" t="str">
        <f t="array" ref="H65">IF(G65="","",SUBSTITUTE(SUBSTITUTE(SUBSTITUTE(SUBSTITUTE(SUBSTITUTE(G65,"&lt;p&gt;",""),"&lt;/p&gt;",""),"&lt;ul&gt;",""),"&lt;/ul&gt;",""),"&lt;/strong&gt;",""))</f>
        <v>Nouvelle piste créée pour équipe Ventes. Tentative d'enrichissement échouée (email non valide). Discussion reprise sur fonds Audacia, pas de retour prospect ni action complémentaire mentionnée. Aucune activité ou prochaine étape planifiée identifiée à ce jour.</v>
      </c>
      <c r="I65" s="11" cm="1" t="str">
        <f t="array" ref="I65">IF(C65="","",IF(OR(H65="",H65=0,H65=FALSE),"-",H65))</f>
        <v>Nouvelle piste créée pour équipe Ventes. Tentative d'enrichissement échouée (email non valide). Discussion reprise sur fonds Audacia, pas de retour prospect ni action complémentaire mentionnée. Aucune activité ou prochaine étape planifiée identifiée à ce jour.</v>
      </c>
      <c r="J65" s="12">
</c>
      <c r="K65" s="9" t="s">
        <v>46</v>
      </c>
      <c r="L65" s="9" cm="1" t="str">
        <f t="array" ref="L65">IF(C65="","",IF(K65="Mort / Plus rien à faire","KO","OK"))</f>
        <v>OK</v>
      </c>
      <c r="M65" s="13">
        <v>46094.76369212963</v>
      </c>
      <c r="N65" s="13" cm="1" t="n">
        <f t="array" ref="N65">IF(OR(C65="",M65="",M65=0),"",M65)</f>
        <v>46094.76369212963</v>
      </c>
      <c r="O65" s="13">
</c>
      <c r="P65" s="13" cm="1" t="str">
        <f t="array" ref="P65">IF(C65="","",IF(OR(O65="",O65=0),"-",O65))</f>
        <v>-</v>
      </c>
      <c r="Q65" s="14">
        <v>0</v>
      </c>
      <c r="R65" s="9" cm="1" t="str">
        <f t="array" ref="R65">IF(C65="","",ROUND(Q65/1000000,3)&amp;" M€")</f>
        <v>0 M€</v>
      </c>
      <c r="S65" s="15">
        <v>10</v>
      </c>
      <c r="T65" s="9" cm="1" t="str">
        <f t="array" ref="T65">IF(C65="","",SUBSTITUTE(S65,"","")&amp;"%")</f>
        <v>10%</v>
      </c>
      <c r="U65" s="11" cm="1" t="str">
        <f t="array" ref="U65">IF(($N65="")*($P65=""),"",IF(($N65&lt;&gt;"")*($N65&gt;TODAY()-9)*($N65&lt;TODAY()+1)*($P65&lt;&gt;"")*($P65&gt;=TODAY())*($P65&lt;=TODAY()+13),"Semaine passée &amp; à venir",IF(($N65&lt;&gt;"")*($N65&gt;TODAY()-9)*($N65&lt;TODAY()+1),"Semaine passée",IF(($P65&lt;&gt;"")*($P65&gt;=TODAY())*($P65&lt;=TODAY()+13),"À venir","Autre"))))</f>
        <v>Autre</v>
      </c>
      <c r="V65" cm="1" t="n">
        <f t="array" ref="V65">IF(C65&lt;&gt;"",1,0)</f>
        <v>1</v>
      </c>
    </row>
    <row r="66" ht="78.75" customHeight="1">
      <c r="A66" s="9" t="s">
        <v>23</v>
      </c>
      <c r="B66" s="9" t="s">
        <v>47</v>
      </c>
      <c r="C66" s="10" t="s">
        <v>70</v>
      </c>
      <c r="D66" s="10" t="s">
        <v>71</v>
      </c>
      <c r="E66" s="9" t="s">
        <v>67</v>
      </c>
      <c r="F66" s="12" t="s">
        <v>234</v>
      </c>
      <c r="G66" s="11" cm="1" t="str">
        <f t="array" ref="G66">IF(F66="","",SUBSTITUTE(SUBSTITUTE(SUBSTITUTE(SUBSTITUTE(F66,"&lt;li&gt;",CHAR(10)),"&lt;/li&gt;",""),"&lt;br&gt;",CHAR(10)),"&lt;strong&gt;",""))</f>
        <v>&lt;p&gt;Prospect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stade.&lt;/p&gt;</v>
      </c>
      <c r="H66" s="11" cm="1" t="str">
        <f t="array" ref="H66">IF(G66="","",SUBSTITUTE(SUBSTITUTE(SUBSTITUTE(SUBSTITUTE(SUBSTITUTE(G66,"&lt;p&gt;",""),"&lt;/p&gt;",""),"&lt;ul&gt;",""),"&lt;/ul&gt;",""),"&lt;/strong&gt;",""))</f>
        <v>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v>
      </c>
      <c r="I66" s="11" cm="1" t="str">
        <f t="array" ref="I66">IF(C66="","",IF(OR(H66="",H66=0,H66=FALSE),"-",H66))</f>
        <v>Prospect souhaite se positionner sur l'opportunité à hauteur de 1M€, décision probable en juin 2026. Dernier échange noté : "Souhaite se positionner / 1Me / sans doute Juin 2026". Prochaine action à mener avant le 24/04/2026. Pas d'autres retours ou conclusions prospect sur le fonds à ce stade.</v>
      </c>
      <c r="J66" s="12" t="s">
        <v>235</v>
      </c>
      <c r="K66" s="9" t="s">
        <v>46</v>
      </c>
      <c r="L66" s="9" cm="1" t="str">
        <f t="array" ref="L66">IF(C66="","",IF(K66="Mort / Plus rien à faire","KO","OK"))</f>
        <v>OK</v>
      </c>
      <c r="M66" s="13">
        <v>46122.33702546296</v>
      </c>
      <c r="N66" s="13" cm="1" t="n">
        <f t="array" ref="N66">IF(OR(C66="",M66="",M66=0),"",M66)</f>
        <v>46122.33702546296</v>
      </c>
      <c r="O66" s="13">
</c>
      <c r="P66" s="13" cm="1" t="str">
        <f t="array" ref="P66">IF(C66="","",IF(OR(O66="",O66=0),"-",O66))</f>
        <v>-</v>
      </c>
      <c r="Q66" s="14">
        <v>1000000</v>
      </c>
      <c r="R66" s="9" cm="1" t="str">
        <f t="array" ref="R66">IF(C66="","",ROUND(Q66/1000000,3)&amp;" M€")</f>
        <v>1 M€</v>
      </c>
      <c r="S66" s="15">
        <v>10</v>
      </c>
      <c r="T66" s="9" cm="1" t="str">
        <f t="array" ref="T66">IF(C66="","",SUBSTITUTE(S66,"","")&amp;"%")</f>
        <v>10%</v>
      </c>
      <c r="U66" s="11" cm="1" t="str">
        <f t="array" ref="U66">IF(($N66="")*($P66=""),"",IF(($N66&lt;&gt;"")*($N66&gt;TODAY()-9)*($N66&lt;TODAY()+1)*($P66&lt;&gt;"")*($P66&gt;=TODAY())*($P66&lt;=TODAY()+13),"Semaine passée &amp; à venir",IF(($N66&lt;&gt;"")*($N66&gt;TODAY()-9)*($N66&lt;TODAY()+1),"Semaine passée",IF(($P66&lt;&gt;"")*($P66&gt;=TODAY())*($P66&lt;=TODAY()+13),"À venir","Autre"))))</f>
        <v>Autre</v>
      </c>
      <c r="V66" cm="1" t="n">
        <f t="array" ref="V66">IF(C66&lt;&gt;"",1,0)</f>
        <v>1</v>
      </c>
    </row>
    <row r="67" ht="78.75" customHeight="1">
      <c r="A67" s="9" t="s">
        <v>23</v>
      </c>
      <c r="B67" s="9" t="s">
        <v>180</v>
      </c>
      <c r="C67" s="10" t="s">
        <v>236</v>
      </c>
      <c r="D67" s="10" t="s">
        <v>237</v>
      </c>
      <c r="E67" s="9" t="s">
        <v>67</v>
      </c>
      <c r="F67" s="12" t="s">
        <v>238</v>
      </c>
      <c r="G67" s="11" cm="1" t="str">
        <f t="array" ref="G67">IF(F67="","",SUBSTITUTE(SUBSTITUTE(SUBSTITUTE(SUBSTITUTE(F67,"&lt;li&gt;",CHAR(10)),"&lt;/li&gt;",""),"&lt;br&gt;",CHAR(10)),"&lt;strong&gt;",""))</f>
        <v>&lt;p&gt;12/12/25 RDV FO: 70 lignes fonds, 15 Europe, secondaire actif, 16M€, 100% déployé, horizon 3-5 ans, LP lead prudent, GP lead single asset, discussions sur nouveau fonds 1,5M€, Rdv janvier prévu. Prochaine étape : prendre rdv pour update secondary. Pas d'autres actus récentes.&lt;/p&gt;</v>
      </c>
      <c r="H67" s="11" cm="1" t="str">
        <f t="array" ref="H67">IF(G67="","",SUBSTITUTE(SUBSTITUTE(SUBSTITUTE(SUBSTITUTE(SUBSTITUTE(G67,"&lt;p&gt;",""),"&lt;/p&gt;",""),"&lt;ul&gt;",""),"&lt;/ul&gt;",""),"&lt;/strong&gt;",""))</f>
        <v>12/12/25 RDV FO: 70 lignes fonds, 15 Europe, secondaire actif, 16M€, 100% déployé, horizon 3-5 ans, LP lead prudent, GP lead single asset, discussions sur nouveau fonds 1,5M€, Rdv janvier prévu. Prochaine étape : prendre rdv pour update secondary. Pas d'autres actus récentes.</v>
      </c>
      <c r="I67" s="11" cm="1" t="str">
        <f t="array" ref="I67">IF(C67="","",IF(OR(H67="",H67=0,H67=FALSE),"-",H67))</f>
        <v>12/12/25 RDV FO: 70 lignes fonds, 15 Europe, secondaire actif, 16M€, 100% déployé, horizon 3-5 ans, LP lead prudent, GP lead single asset, discussions sur nouveau fonds 1,5M€, Rdv janvier prévu. Prochaine étape : prendre rdv pour update secondary. Pas d'autres actus récentes.</v>
      </c>
      <c r="J67" s="12" t="s">
        <v>239</v>
      </c>
      <c r="K67" s="9" t="s">
        <v>46</v>
      </c>
      <c r="L67" s="9" cm="1" t="str">
        <f t="array" ref="L67">IF(C67="","",IF(K67="Mort / Plus rien à faire","KO","OK"))</f>
        <v>OK</v>
      </c>
      <c r="M67" s="13">
        <v>46088.40940972222</v>
      </c>
      <c r="N67" s="13" cm="1" t="n">
        <f t="array" ref="N67">IF(OR(C67="",M67="",M67=0),"",M67)</f>
        <v>46088.40940972222</v>
      </c>
      <c r="O67" s="13">
        <v>46209.083333333336</v>
      </c>
      <c r="P67" s="13" cm="1" t="n">
        <f t="array" ref="P67">IF(C67="","",IF(OR(O67="",O67=0),"-",O67))</f>
        <v>46209.083333333336</v>
      </c>
      <c r="Q67" s="14">
        <v>0</v>
      </c>
      <c r="R67" s="9" cm="1" t="str">
        <f t="array" ref="R67">IF(C67="","",ROUND(Q67/1000000,3)&amp;" M€")</f>
        <v>0 M€</v>
      </c>
      <c r="S67" s="15">
        <v>0</v>
      </c>
      <c r="T67" s="9" cm="1" t="str">
        <f t="array" ref="T67">IF(C67="","",SUBSTITUTE(S67,"","")&amp;"%")</f>
        <v>0%</v>
      </c>
      <c r="U67" s="11" cm="1" t="str">
        <f t="array" ref="U67">IF(($N67="")*($P67=""),"",IF(($N67&lt;&gt;"")*($N67&gt;TODAY()-9)*($N67&lt;TODAY()+1)*($P67&lt;&gt;"")*($P67&gt;=TODAY())*($P67&lt;=TODAY()+13),"Semaine passée &amp; à venir",IF(($N67&lt;&gt;"")*($N67&gt;TODAY()-9)*($N67&lt;TODAY()+1),"Semaine passée",IF(($P67&lt;&gt;"")*($P67&gt;=TODAY())*($P67&lt;=TODAY()+13),"À venir","Autre"))))</f>
        <v>Autre</v>
      </c>
      <c r="V67" cm="1" t="n">
        <f t="array" ref="V67">IF(C67&lt;&gt;"",1,0)</f>
        <v>1</v>
      </c>
    </row>
    <row r="68" ht="78.75" customHeight="1">
      <c r="A68" s="9" t="s">
        <v>23</v>
      </c>
      <c r="B68" s="9" t="s">
        <v>24</v>
      </c>
      <c r="C68" s="10" t="s">
        <v>240</v>
      </c>
      <c r="D68" s="10" t="s">
        <v>240</v>
      </c>
      <c r="E68" s="9" t="s">
        <v>67</v>
      </c>
      <c r="F68" s="12" t="s">
        <v>241</v>
      </c>
      <c r="G68" s="11" cm="1" t="str">
        <f t="array" ref="G68">IF(F68="","",SUBSTITUTE(SUBSTITUTE(SUBSTITUTE(SUBSTITUTE(F68,"&lt;li&gt;",CHAR(10)),"&lt;/li&gt;",""),"&lt;br&gt;",CHAR(10)),"&lt;strong&gt;",""))</f>
        <v>&lt;p&gt;Relance faite auprès de r.weiss@titrisation.com le 20/03/2026, feedback reçu suite à un RDV physique. Nouveau RDV en cours de calage, échanges réguliers depuis février. Pas de retour prospect sur fonds présenté à ce stade. Prochaine étape : fixer nouveau RDV, suivi en cours.&lt;/p&gt;</v>
      </c>
      <c r="H68" s="11" cm="1" t="str">
        <f t="array" ref="H68">IF(G68="","",SUBSTITUTE(SUBSTITUTE(SUBSTITUTE(SUBSTITUTE(SUBSTITUTE(G68,"&lt;p&gt;",""),"&lt;/p&gt;",""),"&lt;ul&gt;",""),"&lt;/ul&gt;",""),"&lt;/strong&gt;",""))</f>
        <v>Relance faite auprès de r.weiss@titrisation.com le 20/03/2026, feedback reçu suite à un RDV physique. Nouveau RDV en cours de calage, échanges réguliers depuis février. Pas de retour prospect sur fonds présenté à ce stade. Prochaine étape : fixer nouveau RDV, suivi en cours.</v>
      </c>
      <c r="I68" s="11" cm="1" t="str">
        <f t="array" ref="I68">IF(C68="","",IF(OR(H68="",H68=0,H68=FALSE),"-",H68))</f>
        <v>Relance faite auprès de r.weiss@titrisation.com le 20/03/2026, feedback reçu suite à un RDV physique. Nouveau RDV en cours de calage, échanges réguliers depuis février. Pas de retour prospect sur fonds présenté à ce stade. Prochaine étape : fixer nouveau RDV, suivi en cours.</v>
      </c>
      <c r="J68" s="12">
</c>
      <c r="K68" s="9" t="s">
        <v>69</v>
      </c>
      <c r="L68" s="9" cm="1" t="str">
        <f t="array" ref="L68">IF(C68="","",IF(K68="Mort / Plus rien à faire","KO","OK"))</f>
        <v>OK</v>
      </c>
      <c r="M68" s="13">
        <v>46135.78333333333</v>
      </c>
      <c r="N68" s="13" cm="1" t="n">
        <f t="array" ref="N68">IF(OR(C68="",M68="",M68=0),"",M68)</f>
        <v>46135.78333333333</v>
      </c>
      <c r="O68" s="13">
</c>
      <c r="P68" s="13" cm="1" t="str">
        <f t="array" ref="P68">IF(C68="","",IF(OR(O68="",O68=0),"-",O68))</f>
        <v>-</v>
      </c>
      <c r="Q68" s="14">
        <v>0</v>
      </c>
      <c r="R68" s="9" cm="1" t="str">
        <f t="array" ref="R68">IF(C68="","",ROUND(Q68/1000000,3)&amp;" M€")</f>
        <v>0 M€</v>
      </c>
      <c r="S68" s="15">
        <v>0</v>
      </c>
      <c r="T68" s="9" cm="1" t="str">
        <f t="array" ref="T68">IF(C68="","",SUBSTITUTE(S68,"","")&amp;"%")</f>
        <v>0%</v>
      </c>
      <c r="U68" s="11" cm="1" t="str">
        <f t="array" ref="U68">IF(($N68="")*($P68=""),"",IF(($N68&lt;&gt;"")*($N68&gt;TODAY()-9)*($N68&lt;TODAY()+1)*($P68&lt;&gt;"")*($P68&gt;=TODAY())*($P68&lt;=TODAY()+13),"Semaine passée &amp; à venir",IF(($N68&lt;&gt;"")*($N68&gt;TODAY()-9)*($N68&lt;TODAY()+1),"Semaine passée",IF(($P68&lt;&gt;"")*($P68&gt;=TODAY())*($P68&lt;=TODAY()+13),"À venir","Autre"))))</f>
        <v>Autre</v>
      </c>
      <c r="V68" cm="1" t="n">
        <f t="array" ref="V68">IF(C68&lt;&gt;"",1,0)</f>
        <v>1</v>
      </c>
    </row>
    <row r="69" ht="78.75" customHeight="1">
      <c r="A69" s="9" t="s">
        <v>23</v>
      </c>
      <c r="B69" s="9" t="s">
        <v>47</v>
      </c>
      <c r="C69" s="10" t="s">
        <v>242</v>
      </c>
      <c r="D69" s="10" t="s">
        <v>243</v>
      </c>
      <c r="E69" s="9" t="s">
        <v>67</v>
      </c>
      <c r="F69" s="12" t="s">
        <v>244</v>
      </c>
      <c r="G69" s="11" cm="1" t="str">
        <f t="array" ref="G69">IF(F69="","",SUBSTITUTE(SUBSTITUTE(SUBSTITUTE(SUBSTITUTE(F69,"&lt;li&gt;",CHAR(10)),"&lt;/li&gt;",""),"&lt;br&gt;",CHAR(10)),"&lt;strong&gt;",""))</f>
        <v>&lt;p&gt;Nouvelle piste créée pour équipe Ventes. Aucun échange, activité ou action de suivi enregistrée à ce jour sur ce prospect. Pas d'informations complémentaires, pas de retour ni de prochaine étape identifiée. Suivi à initier.&lt;/p&gt;</v>
      </c>
      <c r="H69" s="11" cm="1" t="str">
        <f t="array" ref="H69">IF(G69="","",SUBSTITUTE(SUBSTITUTE(SUBSTITUTE(SUBSTITUTE(SUBSTITUTE(G69,"&lt;p&gt;",""),"&lt;/p&gt;",""),"&lt;ul&gt;",""),"&lt;/ul&gt;",""),"&lt;/strong&gt;",""))</f>
        <v>Nouvelle piste créée pour équipe Ventes. Aucun échange, activité ou action de suivi enregistrée à ce jour sur ce prospect. Pas d'informations complémentaires, pas de retour ni de prochaine étape identifiée. Suivi à initier.</v>
      </c>
      <c r="I69" s="11" cm="1" t="str">
        <f t="array" ref="I69">IF(C69="","",IF(OR(H69="",H69=0,H69=FALSE),"-",H69))</f>
        <v>Nouvelle piste créée pour équipe Ventes. Aucun échange, activité ou action de suivi enregistrée à ce jour sur ce prospect. Pas d'informations complémentaires, pas de retour ni de prochaine étape identifiée. Suivi à initier.</v>
      </c>
      <c r="J69" s="12">
</c>
      <c r="K69" s="9" t="s">
        <v>69</v>
      </c>
      <c r="L69" s="9" cm="1" t="str">
        <f t="array" ref="L69">IF(C69="","",IF(K69="Mort / Plus rien à faire","KO","OK"))</f>
        <v>OK</v>
      </c>
      <c r="M69" s="13">
        <v>46049.8827662037</v>
      </c>
      <c r="N69" s="13" cm="1" t="n">
        <f t="array" ref="N69">IF(OR(C69="",M69="",M69=0),"",M69)</f>
        <v>46049.8827662037</v>
      </c>
      <c r="O69" s="13">
</c>
      <c r="P69" s="13" cm="1" t="str">
        <f t="array" ref="P69">IF(C69="","",IF(OR(O69="",O69=0),"-",O69))</f>
        <v>-</v>
      </c>
      <c r="Q69" s="14">
        <v>0</v>
      </c>
      <c r="R69" s="9" cm="1" t="str">
        <f t="array" ref="R69">IF(C69="","",ROUND(Q69/1000000,3)&amp;" M€")</f>
        <v>0 M€</v>
      </c>
      <c r="S69" s="15">
        <v>0</v>
      </c>
      <c r="T69" s="9" cm="1" t="str">
        <f t="array" ref="T69">IF(C69="","",SUBSTITUTE(S69,"","")&amp;"%")</f>
        <v>0%</v>
      </c>
      <c r="U69" s="11" cm="1" t="str">
        <f t="array" ref="U69">IF(($N69="")*($P69=""),"",IF(($N69&lt;&gt;"")*($N69&gt;TODAY()-9)*($N69&lt;TODAY()+1)*($P69&lt;&gt;"")*($P69&gt;=TODAY())*($P69&lt;=TODAY()+13),"Semaine passée &amp; à venir",IF(($N69&lt;&gt;"")*($N69&gt;TODAY()-9)*($N69&lt;TODAY()+1),"Semaine passée",IF(($P69&lt;&gt;"")*($P69&gt;=TODAY())*($P69&lt;=TODAY()+13),"À venir","Autre"))))</f>
        <v>Autre</v>
      </c>
      <c r="V69" cm="1" t="n">
        <f t="array" ref="V69">IF(C69&lt;&gt;"",1,0)</f>
        <v>1</v>
      </c>
    </row>
    <row r="70" ht="78.75" customHeight="1">
      <c r="A70" s="9" t="s">
        <v>23</v>
      </c>
      <c r="B70" s="9" t="s">
        <v>24</v>
      </c>
      <c r="C70" s="10" t="s">
        <v>245</v>
      </c>
      <c r="D70" s="10" t="s">
        <v>245</v>
      </c>
      <c r="E70" s="9" t="s">
        <v>26</v>
      </c>
      <c r="F70" s="12" t="s">
        <v>246</v>
      </c>
      <c r="G70" s="11" cm="1" t="str">
        <f t="array" ref="G70">IF(F70="","",SUBSTITUTE(SUBSTITUTE(SUBSTITUTE(SUBSTITUTE(F70,"&lt;li&gt;",CHAR(10)),"&lt;/li&gt;",""),"&lt;br&gt;",CHAR(10)),"&lt;strong&gt;",""))</f>
        <v>&lt;p&gt;Proposition de rencontre suite exit société, RDV physique réalisé pour fonds, échanges sur opportunité, appel passé : pas d'intérêt pour Audacia. Aucun retour prospect sur fonds présentés. Pas d'activité récente ni prochaine étape identifiée. Derniers échanges fin 2025.&lt;/p&gt;</v>
      </c>
      <c r="H70" s="11" cm="1" t="str">
        <f t="array" ref="H70">IF(G70="","",SUBSTITUTE(SUBSTITUTE(SUBSTITUTE(SUBSTITUTE(SUBSTITUTE(G70,"&lt;p&gt;",""),"&lt;/p&gt;",""),"&lt;ul&gt;",""),"&lt;/ul&gt;",""),"&lt;/strong&gt;",""))</f>
        <v>Proposition de rencontre suite exit société, RDV physique réalisé pour fonds, échanges sur opportunité, appel passé : pas d'intérêt pour Audacia. Aucun retour prospect sur fonds présentés. Pas d'activité récente ni prochaine étape identifiée. Derniers échanges fin 2025.</v>
      </c>
      <c r="I70" s="11" cm="1" t="str">
        <f t="array" ref="I70">IF(C70="","",IF(OR(H70="",H70=0,H70=FALSE),"-",H70))</f>
        <v>Proposition de rencontre suite exit société, RDV physique réalisé pour fonds, échanges sur opportunité, appel passé : pas d'intérêt pour Audacia. Aucun retour prospect sur fonds présentés. Pas d'activité récente ni prochaine étape identifiée. Derniers échanges fin 2025.</v>
      </c>
      <c r="J70" s="12">
</c>
      <c r="K70" s="9" t="s">
        <v>247</v>
      </c>
      <c r="L70" s="9" cm="1" t="str">
        <f t="array" ref="L70">IF(C70="","",IF(K70="Mort / Plus rien à faire","KO","OK"))</f>
        <v>KO</v>
      </c>
      <c r="M70" s="13">
        <v>46133.50680555555</v>
      </c>
      <c r="N70" s="13" cm="1" t="n">
        <f t="array" ref="N70">IF(OR(C70="",M70="",M70=0),"",M70)</f>
        <v>46133.50680555555</v>
      </c>
      <c r="O70" s="13">
</c>
      <c r="P70" s="13" cm="1" t="str">
        <f t="array" ref="P70">IF(C70="","",IF(OR(O70="",O70=0),"-",O70))</f>
        <v>-</v>
      </c>
      <c r="Q70" s="14">
        <v>0</v>
      </c>
      <c r="R70" s="9" cm="1" t="str">
        <f t="array" ref="R70">IF(C70="","",ROUND(Q70/1000000,3)&amp;" M€")</f>
        <v>0 M€</v>
      </c>
      <c r="S70" s="15">
        <v>0</v>
      </c>
      <c r="T70" s="9" cm="1" t="str">
        <f t="array" ref="T70">IF(C70="","",SUBSTITUTE(S70,"","")&amp;"%")</f>
        <v>0%</v>
      </c>
      <c r="U70" s="11" cm="1" t="str">
        <f t="array" ref="U70">IF(($N70="")*($P70=""),"",IF(($N70&lt;&gt;"")*($N70&gt;TODAY()-9)*($N70&lt;TODAY()+1)*($P70&lt;&gt;"")*($P70&gt;=TODAY())*($P70&lt;=TODAY()+13),"Semaine passée &amp; à venir",IF(($N70&lt;&gt;"")*($N70&gt;TODAY()-9)*($N70&lt;TODAY()+1),"Semaine passée",IF(($P70&lt;&gt;"")*($P70&gt;=TODAY())*($P70&lt;=TODAY()+13),"À venir","Autre"))))</f>
        <v>Autre</v>
      </c>
      <c r="V70" cm="1" t="n">
        <f t="array" ref="V70">IF(C70&lt;&gt;"",1,0)</f>
        <v>1</v>
      </c>
    </row>
    <row r="71" ht="78.75" customHeight="1">
      <c r="A71" s="9">
</c>
      <c r="B71" s="9">
</c>
      <c r="C71" s="10">
</c>
      <c r="D71" s="10">
</c>
      <c r="E71" s="9">
</c>
      <c r="F71" s="12">
</c>
      <c r="G71" s="11" cm="1" t="str">
        <f t="array" ref="G71">IF(F71="","",SUBSTITUTE(SUBSTITUTE(SUBSTITUTE(SUBSTITUTE(F71,"&lt;li&gt;",CHAR(10)),"&lt;/li&gt;",""),"&lt;br&gt;",CHAR(10)),"&lt;strong&gt;",""))</f>
        <v/>
      </c>
      <c r="H71" s="11" cm="1" t="str">
        <f t="array" ref="H71">IF(G71="","",SUBSTITUTE(SUBSTITUTE(SUBSTITUTE(SUBSTITUTE(SUBSTITUTE(G71,"&lt;p&gt;",""),"&lt;/p&gt;",""),"&lt;ul&gt;",""),"&lt;/ul&gt;",""),"&lt;/strong&gt;",""))</f>
        <v/>
      </c>
      <c r="I71" s="11" cm="1" t="str">
        <f t="array" ref="I71">IF(C71="","",IF(OR(H71="",H71=0,H71=FALSE),"-",H71))</f>
        <v/>
      </c>
      <c r="J71" s="12">
</c>
      <c r="K71" s="9">
</c>
      <c r="L71" s="9" cm="1" t="str">
        <f t="array" ref="L71">IF(C71="","",IF(K71="Mort / Plus rien à faire","KO","OK"))</f>
        <v/>
      </c>
      <c r="M71" s="13">
</c>
      <c r="N71" s="13" cm="1" t="str">
        <f t="array" ref="N71">IF(OR(C71="",M71="",M71=0),"",M71)</f>
        <v/>
      </c>
      <c r="O71" s="13">
</c>
      <c r="P71" s="13" cm="1" t="str">
        <f t="array" ref="P71">IF(C71="","",IF(OR(O71="",O71=0),"-",O71))</f>
        <v/>
      </c>
      <c r="Q71" s="14">
</c>
      <c r="R71" s="9" cm="1" t="str">
        <f t="array" ref="R71">IF(C71="","",ROUND(Q71/1000000,3)&amp;" M€")</f>
        <v/>
      </c>
      <c r="S71" s="15">
</c>
      <c r="T71" s="9" cm="1" t="str">
        <f t="array" ref="T71">IF(C71="","",SUBSTITUTE(S71,"","")&amp;"%")</f>
        <v/>
      </c>
      <c r="U71" s="11" cm="1" t="str">
        <f t="array" ref="U71">IF(($N71="")*($P71=""),"",IF(($N71&lt;&gt;"")*($N71&gt;TODAY()-9)*($N71&lt;TODAY()+1)*($P71&lt;&gt;"")*($P71&gt;=TODAY())*($P71&lt;=TODAY()+13),"Semaine passée &amp; à venir",IF(($N71&lt;&gt;"")*($N71&gt;TODAY()-9)*($N71&lt;TODAY()+1),"Semaine passée",IF(($P71&lt;&gt;"")*($P71&gt;=TODAY())*($P71&lt;=TODAY()+13),"À venir","Autre"))))</f>
        <v/>
      </c>
      <c r="V71" cm="1" t="n">
        <f t="array" ref="V71">IF(C71&lt;&gt;"",1,0)</f>
        <v>0</v>
      </c>
    </row>
    <row r="72" ht="78.75" customHeight="1">
      <c r="A72" s="9">
</c>
      <c r="B72" s="9">
</c>
      <c r="C72" s="10">
</c>
      <c r="D72" s="10">
</c>
      <c r="E72" s="9">
</c>
      <c r="F72" s="12">
</c>
      <c r="G72" s="11" cm="1" t="str">
        <f t="array" ref="G72">IF(F72="","",SUBSTITUTE(SUBSTITUTE(SUBSTITUTE(SUBSTITUTE(F72,"&lt;li&gt;",CHAR(10)),"&lt;/li&gt;",""),"&lt;br&gt;",CHAR(10)),"&lt;strong&gt;",""))</f>
        <v/>
      </c>
      <c r="H72" s="11" cm="1" t="str">
        <f t="array" ref="H72">IF(G72="","",SUBSTITUTE(SUBSTITUTE(SUBSTITUTE(SUBSTITUTE(SUBSTITUTE(G72,"&lt;p&gt;",""),"&lt;/p&gt;",""),"&lt;ul&gt;",""),"&lt;/ul&gt;",""),"&lt;/strong&gt;",""))</f>
        <v/>
      </c>
      <c r="I72" s="11" cm="1" t="str">
        <f t="array" ref="I72">IF(C72="","",IF(OR(H72="",H72=0,H72=FALSE),"-",H72))</f>
        <v/>
      </c>
      <c r="J72" s="12">
</c>
      <c r="K72" s="9">
</c>
      <c r="L72" s="9" cm="1" t="str">
        <f t="array" ref="L72">IF(C72="","",IF(K72="Mort / Plus rien à faire","KO","OK"))</f>
        <v/>
      </c>
      <c r="M72" s="13">
</c>
      <c r="N72" s="13" cm="1" t="str">
        <f t="array" ref="N72">IF(OR(C72="",M72="",M72=0),"",M72)</f>
        <v/>
      </c>
      <c r="O72" s="13">
</c>
      <c r="P72" s="13" cm="1" t="str">
        <f t="array" ref="P72">IF(C72="","",IF(OR(O72="",O72=0),"-",O72))</f>
        <v/>
      </c>
      <c r="Q72" s="14">
</c>
      <c r="R72" s="9" cm="1" t="str">
        <f t="array" ref="R72">IF(C72="","",ROUND(Q72/1000000,3)&amp;" M€")</f>
        <v/>
      </c>
      <c r="S72" s="15">
</c>
      <c r="T72" s="9" cm="1" t="str">
        <f t="array" ref="T72">IF(C72="","",SUBSTITUTE(S72,"","")&amp;"%")</f>
        <v/>
      </c>
      <c r="U72" s="11" cm="1" t="str">
        <f t="array" ref="U72">IF(($N72="")*($P72=""),"",IF(($N72&lt;&gt;"")*($N72&gt;TODAY()-9)*($N72&lt;TODAY()+1)*($P72&lt;&gt;"")*($P72&gt;=TODAY())*($P72&lt;=TODAY()+13),"Semaine passée &amp; à venir",IF(($N72&lt;&gt;"")*($N72&gt;TODAY()-9)*($N72&lt;TODAY()+1),"Semaine passée",IF(($P72&lt;&gt;"")*($P72&gt;=TODAY())*($P72&lt;=TODAY()+13),"À venir","Autre"))))</f>
        <v/>
      </c>
      <c r="V72" cm="1" t="n">
        <f t="array" ref="V72">IF(C72&lt;&gt;"",1,0)</f>
        <v>0</v>
      </c>
    </row>
    <row r="73" ht="78.75" customHeight="1">
      <c r="A73" s="9">
</c>
      <c r="B73" s="9">
</c>
      <c r="C73" s="10">
</c>
      <c r="D73" s="10">
</c>
      <c r="E73" s="9">
</c>
      <c r="F73" s="12">
</c>
      <c r="G73" s="11" cm="1" t="str">
        <f t="array" ref="G73">IF(F73="","",SUBSTITUTE(SUBSTITUTE(SUBSTITUTE(SUBSTITUTE(F73,"&lt;li&gt;",CHAR(10)),"&lt;/li&gt;",""),"&lt;br&gt;",CHAR(10)),"&lt;strong&gt;",""))</f>
        <v/>
      </c>
      <c r="H73" s="11" cm="1" t="str">
        <f t="array" ref="H73">IF(G73="","",SUBSTITUTE(SUBSTITUTE(SUBSTITUTE(SUBSTITUTE(SUBSTITUTE(G73,"&lt;p&gt;",""),"&lt;/p&gt;",""),"&lt;ul&gt;",""),"&lt;/ul&gt;",""),"&lt;/strong&gt;",""))</f>
        <v/>
      </c>
      <c r="I73" s="11" cm="1" t="str">
        <f t="array" ref="I73">IF(C73="","",IF(OR(H73="",H73=0,H73=FALSE),"-",H73))</f>
        <v/>
      </c>
      <c r="J73" s="12">
</c>
      <c r="K73" s="9">
</c>
      <c r="L73" s="9" cm="1" t="str">
        <f t="array" ref="L73">IF(C73="","",IF(K73="Mort / Plus rien à faire","KO","OK"))</f>
        <v/>
      </c>
      <c r="M73" s="13">
</c>
      <c r="N73" s="13" cm="1" t="str">
        <f t="array" ref="N73">IF(OR(C73="",M73="",M73=0),"",M73)</f>
        <v/>
      </c>
      <c r="O73" s="13">
</c>
      <c r="P73" s="13" cm="1" t="str">
        <f t="array" ref="P73">IF(C73="","",IF(OR(O73="",O73=0),"-",O73))</f>
        <v/>
      </c>
      <c r="Q73" s="14">
</c>
      <c r="R73" s="9" cm="1" t="str">
        <f t="array" ref="R73">IF(C73="","",ROUND(Q73/1000000,3)&amp;" M€")</f>
        <v/>
      </c>
      <c r="S73" s="15">
</c>
      <c r="T73" s="9" cm="1" t="str">
        <f t="array" ref="T73">IF(C73="","",SUBSTITUTE(S73,"","")&amp;"%")</f>
        <v/>
      </c>
      <c r="U73" s="11" cm="1" t="str">
        <f t="array" ref="U73">IF(($N73="")*($P73=""),"",IF(($N73&lt;&gt;"")*($N73&gt;TODAY()-9)*($N73&lt;TODAY()+1)*($P73&lt;&gt;"")*($P73&gt;=TODAY())*($P73&lt;=TODAY()+13),"Semaine passée &amp; à venir",IF(($N73&lt;&gt;"")*($N73&gt;TODAY()-9)*($N73&lt;TODAY()+1),"Semaine passée",IF(($P73&lt;&gt;"")*($P73&gt;=TODAY())*($P73&lt;=TODAY()+13),"À venir","Autre"))))</f>
        <v/>
      </c>
      <c r="V73" cm="1" t="n">
        <f t="array" ref="V73">IF(C73&lt;&gt;"",1,0)</f>
        <v>0</v>
      </c>
    </row>
    <row r="74" ht="78.75" customHeight="1">
      <c r="A74" s="9">
</c>
      <c r="B74" s="9">
</c>
      <c r="C74" s="10">
</c>
      <c r="D74" s="10">
</c>
      <c r="E74" s="9">
</c>
      <c r="F74" s="12">
</c>
      <c r="G74" s="11" cm="1" t="str">
        <f t="array" ref="G74">IF(F74="","",SUBSTITUTE(SUBSTITUTE(SUBSTITUTE(SUBSTITUTE(F74,"&lt;li&gt;",CHAR(10)),"&lt;/li&gt;",""),"&lt;br&gt;",CHAR(10)),"&lt;strong&gt;",""))</f>
        <v/>
      </c>
      <c r="H74" s="11" cm="1" t="str">
        <f t="array" ref="H74">IF(G74="","",SUBSTITUTE(SUBSTITUTE(SUBSTITUTE(SUBSTITUTE(SUBSTITUTE(G74,"&lt;p&gt;",""),"&lt;/p&gt;",""),"&lt;ul&gt;",""),"&lt;/ul&gt;",""),"&lt;/strong&gt;",""))</f>
        <v/>
      </c>
      <c r="I74" s="11" cm="1" t="str">
        <f t="array" ref="I74">IF(C74="","",IF(OR(H74="",H74=0,H74=FALSE),"-",H74))</f>
        <v/>
      </c>
      <c r="J74" s="12">
</c>
      <c r="K74" s="9">
</c>
      <c r="L74" s="9" cm="1" t="str">
        <f t="array" ref="L74">IF(C74="","",IF(K74="Mort / Plus rien à faire","KO","OK"))</f>
        <v/>
      </c>
      <c r="M74" s="13">
</c>
      <c r="N74" s="13" cm="1" t="str">
        <f t="array" ref="N74">IF(OR(C74="",M74="",M74=0),"",M74)</f>
        <v/>
      </c>
      <c r="O74" s="13">
</c>
      <c r="P74" s="13" cm="1" t="str">
        <f t="array" ref="P74">IF(C74="","",IF(OR(O74="",O74=0),"-",O74))</f>
        <v/>
      </c>
      <c r="Q74" s="14">
</c>
      <c r="R74" s="9" cm="1" t="str">
        <f t="array" ref="R74">IF(C74="","",ROUND(Q74/1000000,3)&amp;" M€")</f>
        <v/>
      </c>
      <c r="S74" s="15">
</c>
      <c r="T74" s="9" cm="1" t="str">
        <f t="array" ref="T74">IF(C74="","",SUBSTITUTE(S74,"","")&amp;"%")</f>
        <v/>
      </c>
      <c r="U74" s="11" cm="1" t="str">
        <f t="array" ref="U74">IF(($N74="")*($P74=""),"",IF(($N74&lt;&gt;"")*($N74&gt;TODAY()-9)*($N74&lt;TODAY()+1)*($P74&lt;&gt;"")*($P74&gt;=TODAY())*($P74&lt;=TODAY()+13),"Semaine passée &amp; à venir",IF(($N74&lt;&gt;"")*($N74&gt;TODAY()-9)*($N74&lt;TODAY()+1),"Semaine passée",IF(($P74&lt;&gt;"")*($P74&gt;=TODAY())*($P74&lt;=TODAY()+13),"À venir","Autre"))))</f>
        <v/>
      </c>
      <c r="V74" cm="1" t="n">
        <f t="array" ref="V74">IF(C74&lt;&gt;"",1,0)</f>
        <v>0</v>
      </c>
    </row>
    <row r="75" ht="78.75" customHeight="1">
      <c r="A75" s="9">
</c>
      <c r="B75" s="9">
</c>
      <c r="C75" s="10">
</c>
      <c r="D75" s="10">
</c>
      <c r="E75" s="9">
</c>
      <c r="F75" s="12">
</c>
      <c r="G75" s="11" cm="1" t="str">
        <f t="array" ref="G75">IF(F75="","",SUBSTITUTE(SUBSTITUTE(SUBSTITUTE(SUBSTITUTE(F75,"&lt;li&gt;",CHAR(10)),"&lt;/li&gt;",""),"&lt;br&gt;",CHAR(10)),"&lt;strong&gt;",""))</f>
        <v/>
      </c>
      <c r="H75" s="11" cm="1" t="str">
        <f t="array" ref="H75">IF(G75="","",SUBSTITUTE(SUBSTITUTE(SUBSTITUTE(SUBSTITUTE(SUBSTITUTE(G75,"&lt;p&gt;",""),"&lt;/p&gt;",""),"&lt;ul&gt;",""),"&lt;/ul&gt;",""),"&lt;/strong&gt;",""))</f>
        <v/>
      </c>
      <c r="I75" s="11" cm="1" t="str">
        <f t="array" ref="I75">IF(C75="","",IF(OR(H75="",H75=0,H75=FALSE),"-",H75))</f>
        <v/>
      </c>
      <c r="J75" s="12">
</c>
      <c r="K75" s="9">
</c>
      <c r="L75" s="9" cm="1" t="str">
        <f t="array" ref="L75">IF(C75="","",IF(K75="Mort / Plus rien à faire","KO","OK"))</f>
        <v/>
      </c>
      <c r="M75" s="13">
</c>
      <c r="N75" s="13" cm="1" t="str">
        <f t="array" ref="N75">IF(OR(C75="",M75="",M75=0),"",M75)</f>
        <v/>
      </c>
      <c r="O75" s="13">
</c>
      <c r="P75" s="13" cm="1" t="str">
        <f t="array" ref="P75">IF(C75="","",IF(OR(O75="",O75=0),"-",O75))</f>
        <v/>
      </c>
      <c r="Q75" s="14">
</c>
      <c r="R75" s="9" cm="1" t="str">
        <f t="array" ref="R75">IF(C75="","",ROUND(Q75/1000000,3)&amp;" M€")</f>
        <v/>
      </c>
      <c r="S75" s="15">
</c>
      <c r="T75" s="9" cm="1" t="str">
        <f t="array" ref="T75">IF(C75="","",SUBSTITUTE(S75,"","")&amp;"%")</f>
        <v/>
      </c>
      <c r="U75" s="11" cm="1" t="str">
        <f t="array" ref="U75">IF(($N75="")*($P75=""),"",IF(($N75&lt;&gt;"")*($N75&gt;TODAY()-9)*($N75&lt;TODAY()+1)*($P75&lt;&gt;"")*($P75&gt;=TODAY())*($P75&lt;=TODAY()+13),"Semaine passée &amp; à venir",IF(($N75&lt;&gt;"")*($N75&gt;TODAY()-9)*($N75&lt;TODAY()+1),"Semaine passée",IF(($P75&lt;&gt;"")*($P75&gt;=TODAY())*($P75&lt;=TODAY()+13),"À venir","Autre"))))</f>
        <v/>
      </c>
      <c r="V75" cm="1" t="n">
        <f t="array" ref="V75">IF(C75&lt;&gt;"",1,0)</f>
        <v>0</v>
      </c>
    </row>
    <row r="76" ht="78.75" customHeight="1">
      <c r="A76" s="9">
</c>
      <c r="B76" s="9">
</c>
      <c r="C76" s="10">
</c>
      <c r="D76" s="10">
</c>
      <c r="E76" s="9">
</c>
      <c r="F76" s="12">
</c>
      <c r="G76" s="11" cm="1" t="str">
        <f t="array" ref="G76">IF(F76="","",SUBSTITUTE(SUBSTITUTE(SUBSTITUTE(SUBSTITUTE(F76,"&lt;li&gt;",CHAR(10)),"&lt;/li&gt;",""),"&lt;br&gt;",CHAR(10)),"&lt;strong&gt;",""))</f>
        <v/>
      </c>
      <c r="H76" s="11" cm="1" t="str">
        <f t="array" ref="H76">IF(G76="","",SUBSTITUTE(SUBSTITUTE(SUBSTITUTE(SUBSTITUTE(SUBSTITUTE(G76,"&lt;p&gt;",""),"&lt;/p&gt;",""),"&lt;ul&gt;",""),"&lt;/ul&gt;",""),"&lt;/strong&gt;",""))</f>
        <v/>
      </c>
      <c r="I76" s="11" cm="1" t="str">
        <f t="array" ref="I76">IF(C76="","",IF(OR(H76="",H76=0,H76=FALSE),"-",H76))</f>
        <v/>
      </c>
      <c r="J76" s="12">
</c>
      <c r="K76" s="9">
</c>
      <c r="L76" s="9" cm="1" t="str">
        <f t="array" ref="L76">IF(C76="","",IF(K76="Mort / Plus rien à faire","KO","OK"))</f>
        <v/>
      </c>
      <c r="M76" s="13">
</c>
      <c r="N76" s="13" cm="1" t="str">
        <f t="array" ref="N76">IF(OR(C76="",M76="",M76=0),"",M76)</f>
        <v/>
      </c>
      <c r="O76" s="13">
</c>
      <c r="P76" s="13" cm="1" t="str">
        <f t="array" ref="P76">IF(C76="","",IF(OR(O76="",O76=0),"-",O76))</f>
        <v/>
      </c>
      <c r="Q76" s="14">
</c>
      <c r="R76" s="9" cm="1" t="str">
        <f t="array" ref="R76">IF(C76="","",ROUND(Q76/1000000,3)&amp;" M€")</f>
        <v/>
      </c>
      <c r="S76" s="15">
</c>
      <c r="T76" s="9" cm="1" t="str">
        <f t="array" ref="T76">IF(C76="","",SUBSTITUTE(S76,"","")&amp;"%")</f>
        <v/>
      </c>
      <c r="U76" s="11" cm="1" t="str">
        <f t="array" ref="U76">IF(($N76="")*($P76=""),"",IF(($N76&lt;&gt;"")*($N76&gt;TODAY()-9)*($N76&lt;TODAY()+1)*($P76&lt;&gt;"")*($P76&gt;=TODAY())*($P76&lt;=TODAY()+13),"Semaine passée &amp; à venir",IF(($N76&lt;&gt;"")*($N76&gt;TODAY()-9)*($N76&lt;TODAY()+1),"Semaine passée",IF(($P76&lt;&gt;"")*($P76&gt;=TODAY())*($P76&lt;=TODAY()+13),"À venir","Autre"))))</f>
        <v/>
      </c>
      <c r="V76" cm="1" t="n">
        <f t="array" ref="V76">IF(C76&lt;&gt;"",1,0)</f>
        <v>0</v>
      </c>
    </row>
    <row r="77" ht="78.75" customHeight="1">
      <c r="A77" s="9">
</c>
      <c r="B77" s="9">
</c>
      <c r="C77" s="10">
</c>
      <c r="D77" s="10">
</c>
      <c r="E77" s="9">
</c>
      <c r="F77" s="12">
</c>
      <c r="G77" s="11" cm="1" t="str">
        <f t="array" ref="G77">IF(F77="","",SUBSTITUTE(SUBSTITUTE(SUBSTITUTE(SUBSTITUTE(F77,"&lt;li&gt;",CHAR(10)),"&lt;/li&gt;",""),"&lt;br&gt;",CHAR(10)),"&lt;strong&gt;",""))</f>
        <v/>
      </c>
      <c r="H77" s="11" cm="1" t="str">
        <f t="array" ref="H77">IF(G77="","",SUBSTITUTE(SUBSTITUTE(SUBSTITUTE(SUBSTITUTE(SUBSTITUTE(G77,"&lt;p&gt;",""),"&lt;/p&gt;",""),"&lt;ul&gt;",""),"&lt;/ul&gt;",""),"&lt;/strong&gt;",""))</f>
        <v/>
      </c>
      <c r="I77" s="11" cm="1" t="str">
        <f t="array" ref="I77">IF(C77="","",IF(OR(H77="",H77=0,H77=FALSE),"-",H77))</f>
        <v/>
      </c>
      <c r="J77" s="12">
</c>
      <c r="K77" s="9">
</c>
      <c r="L77" s="9" cm="1" t="str">
        <f t="array" ref="L77">IF(C77="","",IF(K77="Mort / Plus rien à faire","KO","OK"))</f>
        <v/>
      </c>
      <c r="M77" s="13">
</c>
      <c r="N77" s="13" cm="1" t="str">
        <f t="array" ref="N77">IF(OR(C77="",M77="",M77=0),"",M77)</f>
        <v/>
      </c>
      <c r="O77" s="13">
</c>
      <c r="P77" s="13" cm="1" t="str">
        <f t="array" ref="P77">IF(C77="","",IF(OR(O77="",O77=0),"-",O77))</f>
        <v/>
      </c>
      <c r="Q77" s="14">
</c>
      <c r="R77" s="9" cm="1" t="str">
        <f t="array" ref="R77">IF(C77="","",ROUND(Q77/1000000,3)&amp;" M€")</f>
        <v/>
      </c>
      <c r="S77" s="15">
</c>
      <c r="T77" s="9" cm="1" t="str">
        <f t="array" ref="T77">IF(C77="","",SUBSTITUTE(S77,"","")&amp;"%")</f>
        <v/>
      </c>
      <c r="U77" s="11" cm="1" t="str">
        <f t="array" ref="U77">IF(($N77="")*($P77=""),"",IF(($N77&lt;&gt;"")*($N77&gt;TODAY()-9)*($N77&lt;TODAY()+1)*($P77&lt;&gt;"")*($P77&gt;=TODAY())*($P77&lt;=TODAY()+13),"Semaine passée &amp; à venir",IF(($N77&lt;&gt;"")*($N77&gt;TODAY()-9)*($N77&lt;TODAY()+1),"Semaine passée",IF(($P77&lt;&gt;"")*($P77&gt;=TODAY())*($P77&lt;=TODAY()+13),"À venir","Autre"))))</f>
        <v/>
      </c>
      <c r="V77" cm="1" t="n">
        <f t="array" ref="V77">IF(C77&lt;&gt;"",1,0)</f>
        <v>0</v>
      </c>
    </row>
    <row r="78" ht="78.75" customHeight="1">
      <c r="A78" s="9">
</c>
      <c r="B78" s="9">
</c>
      <c r="C78" s="10">
</c>
      <c r="D78" s="10">
</c>
      <c r="E78" s="9">
</c>
      <c r="F78" s="12">
</c>
      <c r="G78" s="11" cm="1" t="str">
        <f t="array" ref="G78">IF(F78="","",SUBSTITUTE(SUBSTITUTE(SUBSTITUTE(SUBSTITUTE(F78,"&lt;li&gt;",CHAR(10)),"&lt;/li&gt;",""),"&lt;br&gt;",CHAR(10)),"&lt;strong&gt;",""))</f>
        <v/>
      </c>
      <c r="H78" s="11" cm="1" t="str">
        <f t="array" ref="H78">IF(G78="","",SUBSTITUTE(SUBSTITUTE(SUBSTITUTE(SUBSTITUTE(SUBSTITUTE(G78,"&lt;p&gt;",""),"&lt;/p&gt;",""),"&lt;ul&gt;",""),"&lt;/ul&gt;",""),"&lt;/strong&gt;",""))</f>
        <v/>
      </c>
      <c r="I78" s="11" cm="1" t="str">
        <f t="array" ref="I78">IF(C78="","",IF(OR(H78="",H78=0,H78=FALSE),"-",H78))</f>
        <v/>
      </c>
      <c r="J78" s="12">
</c>
      <c r="K78" s="9">
</c>
      <c r="L78" s="9" cm="1" t="str">
        <f t="array" ref="L78">IF(C78="","",IF(K78="Mort / Plus rien à faire","KO","OK"))</f>
        <v/>
      </c>
      <c r="M78" s="13">
</c>
      <c r="N78" s="13" cm="1" t="str">
        <f t="array" ref="N78">IF(OR(C78="",M78="",M78=0),"",M78)</f>
        <v/>
      </c>
      <c r="O78" s="13">
</c>
      <c r="P78" s="13" cm="1" t="str">
        <f t="array" ref="P78">IF(C78="","",IF(OR(O78="",O78=0),"-",O78))</f>
        <v/>
      </c>
      <c r="Q78" s="14">
</c>
      <c r="R78" s="9" cm="1" t="str">
        <f t="array" ref="R78">IF(C78="","",ROUND(Q78/1000000,3)&amp;" M€")</f>
        <v/>
      </c>
      <c r="S78" s="15">
</c>
      <c r="T78" s="9" cm="1" t="str">
        <f t="array" ref="T78">IF(C78="","",SUBSTITUTE(S78,"","")&amp;"%")</f>
        <v/>
      </c>
      <c r="U78" s="11" cm="1" t="str">
        <f t="array" ref="U78">IF(($N78="")*($P78=""),"",IF(($N78&lt;&gt;"")*($N78&gt;TODAY()-9)*($N78&lt;TODAY()+1)*($P78&lt;&gt;"")*($P78&gt;=TODAY())*($P78&lt;=TODAY()+13),"Semaine passée &amp; à venir",IF(($N78&lt;&gt;"")*($N78&gt;TODAY()-9)*($N78&lt;TODAY()+1),"Semaine passée",IF(($P78&lt;&gt;"")*($P78&gt;=TODAY())*($P78&lt;=TODAY()+13),"À venir","Autre"))))</f>
        <v/>
      </c>
      <c r="V78" cm="1" t="n">
        <f t="array" ref="V78">IF(C78&lt;&gt;"",1,0)</f>
        <v>0</v>
      </c>
    </row>
    <row r="79" ht="78.75" customHeight="1">
      <c r="A79" s="9">
</c>
      <c r="B79" s="9">
</c>
      <c r="C79" s="10">
</c>
      <c r="D79" s="10">
</c>
      <c r="E79" s="9">
</c>
      <c r="F79" s="12">
</c>
      <c r="G79" s="11" cm="1" t="str">
        <f t="array" ref="G79">IF(F79="","",SUBSTITUTE(SUBSTITUTE(SUBSTITUTE(SUBSTITUTE(F79,"&lt;li&gt;",CHAR(10)),"&lt;/li&gt;",""),"&lt;br&gt;",CHAR(10)),"&lt;strong&gt;",""))</f>
        <v/>
      </c>
      <c r="H79" s="11" cm="1" t="str">
        <f t="array" ref="H79">IF(G79="","",SUBSTITUTE(SUBSTITUTE(SUBSTITUTE(SUBSTITUTE(SUBSTITUTE(G79,"&lt;p&gt;",""),"&lt;/p&gt;",""),"&lt;ul&gt;",""),"&lt;/ul&gt;",""),"&lt;/strong&gt;",""))</f>
        <v/>
      </c>
      <c r="I79" s="11" cm="1" t="str">
        <f t="array" ref="I79">IF(C79="","",IF(OR(H79="",H79=0,H79=FALSE),"-",H79))</f>
        <v/>
      </c>
      <c r="J79" s="12">
</c>
      <c r="K79" s="9">
</c>
      <c r="L79" s="9" cm="1" t="str">
        <f t="array" ref="L79">IF(C79="","",IF(K79="Mort / Plus rien à faire","KO","OK"))</f>
        <v/>
      </c>
      <c r="M79" s="13">
</c>
      <c r="N79" s="13" cm="1" t="str">
        <f t="array" ref="N79">IF(OR(C79="",M79="",M79=0),"",M79)</f>
        <v/>
      </c>
      <c r="O79" s="13">
</c>
      <c r="P79" s="13" cm="1" t="str">
        <f t="array" ref="P79">IF(C79="","",IF(OR(O79="",O79=0),"-",O79))</f>
        <v/>
      </c>
      <c r="Q79" s="14">
</c>
      <c r="R79" s="9" cm="1" t="str">
        <f t="array" ref="R79">IF(C79="","",ROUND(Q79/1000000,3)&amp;" M€")</f>
        <v/>
      </c>
      <c r="S79" s="15">
</c>
      <c r="T79" s="9" cm="1" t="str">
        <f t="array" ref="T79">IF(C79="","",SUBSTITUTE(S79,"","")&amp;"%")</f>
        <v/>
      </c>
      <c r="U79" s="11" cm="1" t="str">
        <f t="array" ref="U79">IF(($N79="")*($P79=""),"",IF(($N79&lt;&gt;"")*($N79&gt;TODAY()-9)*($N79&lt;TODAY()+1)*($P79&lt;&gt;"")*($P79&gt;=TODAY())*($P79&lt;=TODAY()+13),"Semaine passée &amp; à venir",IF(($N79&lt;&gt;"")*($N79&gt;TODAY()-9)*($N79&lt;TODAY()+1),"Semaine passée",IF(($P79&lt;&gt;"")*($P79&gt;=TODAY())*($P79&lt;=TODAY()+13),"À venir","Autre"))))</f>
        <v/>
      </c>
      <c r="V79" cm="1" t="n">
        <f t="array" ref="V79">IF(C79&lt;&gt;"",1,0)</f>
        <v>0</v>
      </c>
    </row>
    <row r="80" ht="78.75" customHeight="1">
      <c r="A80" s="9">
</c>
      <c r="B80" s="9">
</c>
      <c r="C80" s="10">
</c>
      <c r="D80" s="10">
</c>
      <c r="E80" s="9">
</c>
      <c r="F80" s="12">
</c>
      <c r="G80" s="11" cm="1" t="str">
        <f t="array" ref="G80">IF(F80="","",SUBSTITUTE(SUBSTITUTE(SUBSTITUTE(SUBSTITUTE(F80,"&lt;li&gt;",CHAR(10)),"&lt;/li&gt;",""),"&lt;br&gt;",CHAR(10)),"&lt;strong&gt;",""))</f>
        <v/>
      </c>
      <c r="H80" s="11" cm="1" t="str">
        <f t="array" ref="H80">IF(G80="","",SUBSTITUTE(SUBSTITUTE(SUBSTITUTE(SUBSTITUTE(SUBSTITUTE(G80,"&lt;p&gt;",""),"&lt;/p&gt;",""),"&lt;ul&gt;",""),"&lt;/ul&gt;",""),"&lt;/strong&gt;",""))</f>
        <v/>
      </c>
      <c r="I80" s="11" cm="1" t="str">
        <f t="array" ref="I80">IF(C80="","",IF(OR(H80="",H80=0,H80=FALSE),"-",H80))</f>
        <v/>
      </c>
      <c r="J80" s="12">
</c>
      <c r="K80" s="9">
</c>
      <c r="L80" s="9" cm="1" t="str">
        <f t="array" ref="L80">IF(C80="","",IF(K80="Mort / Plus rien à faire","KO","OK"))</f>
        <v/>
      </c>
      <c r="M80" s="13">
</c>
      <c r="N80" s="13" cm="1" t="str">
        <f t="array" ref="N80">IF(OR(C80="",M80="",M80=0),"",M80)</f>
        <v/>
      </c>
      <c r="O80" s="13">
</c>
      <c r="P80" s="13" cm="1" t="str">
        <f t="array" ref="P80">IF(C80="","",IF(OR(O80="",O80=0),"-",O80))</f>
        <v/>
      </c>
      <c r="Q80" s="14">
</c>
      <c r="R80" s="9" cm="1" t="str">
        <f t="array" ref="R80">IF(C80="","",ROUND(Q80/1000000,3)&amp;" M€")</f>
        <v/>
      </c>
      <c r="S80" s="15">
</c>
      <c r="T80" s="9" cm="1" t="str">
        <f t="array" ref="T80">IF(C80="","",SUBSTITUTE(S80,"","")&amp;"%")</f>
        <v/>
      </c>
      <c r="U80" s="11" cm="1" t="str">
        <f t="array" ref="U80">IF(($N80="")*($P80=""),"",IF(($N80&lt;&gt;"")*($N80&gt;TODAY()-9)*($N80&lt;TODAY()+1)*($P80&lt;&gt;"")*($P80&gt;=TODAY())*($P80&lt;=TODAY()+13),"Semaine passée &amp; à venir",IF(($N80&lt;&gt;"")*($N80&gt;TODAY()-9)*($N80&lt;TODAY()+1),"Semaine passée",IF(($P80&lt;&gt;"")*($P80&gt;=TODAY())*($P80&lt;=TODAY()+13),"À venir","Autre"))))</f>
        <v/>
      </c>
      <c r="V80" cm="1" t="n">
        <f t="array" ref="V80">IF(C80&lt;&gt;"",1,0)</f>
        <v>0</v>
      </c>
    </row>
    <row r="81" ht="78.75" customHeight="1">
      <c r="A81" s="9">
</c>
      <c r="B81" s="9">
</c>
      <c r="C81" s="10">
</c>
      <c r="D81" s="10">
</c>
      <c r="E81" s="9">
</c>
      <c r="F81" s="12">
</c>
      <c r="G81" s="11" cm="1" t="str">
        <f t="array" ref="G81">IF(F81="","",SUBSTITUTE(SUBSTITUTE(SUBSTITUTE(SUBSTITUTE(F81,"&lt;li&gt;",CHAR(10)),"&lt;/li&gt;",""),"&lt;br&gt;",CHAR(10)),"&lt;strong&gt;",""))</f>
        <v/>
      </c>
      <c r="H81" s="11" cm="1" t="str">
        <f t="array" ref="H81">IF(G81="","",SUBSTITUTE(SUBSTITUTE(SUBSTITUTE(SUBSTITUTE(SUBSTITUTE(G81,"&lt;p&gt;",""),"&lt;/p&gt;",""),"&lt;ul&gt;",""),"&lt;/ul&gt;",""),"&lt;/strong&gt;",""))</f>
        <v/>
      </c>
      <c r="I81" s="11" cm="1" t="str">
        <f t="array" ref="I81">IF(C81="","",IF(OR(H81="",H81=0,H81=FALSE),"-",H81))</f>
        <v/>
      </c>
      <c r="J81" s="12">
</c>
      <c r="K81" s="9">
</c>
      <c r="L81" s="9" cm="1" t="str">
        <f t="array" ref="L81">IF(C81="","",IF(K81="Mort / Plus rien à faire","KO","OK"))</f>
        <v/>
      </c>
      <c r="M81" s="13">
</c>
      <c r="N81" s="13" cm="1" t="str">
        <f t="array" ref="N81">IF(OR(C81="",M81="",M81=0),"",M81)</f>
        <v/>
      </c>
      <c r="O81" s="13">
</c>
      <c r="P81" s="13" cm="1" t="str">
        <f t="array" ref="P81">IF(C81="","",IF(OR(O81="",O81=0),"-",O81))</f>
        <v/>
      </c>
      <c r="Q81" s="14">
</c>
      <c r="R81" s="9" cm="1" t="str">
        <f t="array" ref="R81">IF(C81="","",ROUND(Q81/1000000,3)&amp;" M€")</f>
        <v/>
      </c>
      <c r="S81" s="15">
</c>
      <c r="T81" s="9" cm="1" t="str">
        <f t="array" ref="T81">IF(C81="","",SUBSTITUTE(S81,"","")&amp;"%")</f>
        <v/>
      </c>
      <c r="U81" s="11" cm="1" t="str">
        <f t="array" ref="U81">IF(($N81="")*($P81=""),"",IF(($N81&lt;&gt;"")*($N81&gt;TODAY()-9)*($N81&lt;TODAY()+1)*($P81&lt;&gt;"")*($P81&gt;=TODAY())*($P81&lt;=TODAY()+13),"Semaine passée &amp; à venir",IF(($N81&lt;&gt;"")*($N81&gt;TODAY()-9)*($N81&lt;TODAY()+1),"Semaine passée",IF(($P81&lt;&gt;"")*($P81&gt;=TODAY())*($P81&lt;=TODAY()+13),"À venir","Autre"))))</f>
        <v/>
      </c>
      <c r="V81" cm="1" t="n">
        <f t="array" ref="V81">IF(C81&lt;&gt;"",1,0)</f>
        <v>0</v>
      </c>
    </row>
    <row r="82" ht="78.75" customHeight="1">
      <c r="A82" s="9">
</c>
      <c r="B82" s="9">
</c>
      <c r="C82" s="10">
</c>
      <c r="D82" s="10">
</c>
      <c r="E82" s="9">
</c>
      <c r="F82" s="12">
</c>
      <c r="G82" s="11" cm="1" t="str">
        <f t="array" ref="G82">IF(F82="","",SUBSTITUTE(SUBSTITUTE(SUBSTITUTE(SUBSTITUTE(F82,"&lt;li&gt;",CHAR(10)),"&lt;/li&gt;",""),"&lt;br&gt;",CHAR(10)),"&lt;strong&gt;",""))</f>
        <v/>
      </c>
      <c r="H82" s="11" cm="1" t="str">
        <f t="array" ref="H82">IF(G82="","",SUBSTITUTE(SUBSTITUTE(SUBSTITUTE(SUBSTITUTE(SUBSTITUTE(G82,"&lt;p&gt;",""),"&lt;/p&gt;",""),"&lt;ul&gt;",""),"&lt;/ul&gt;",""),"&lt;/strong&gt;",""))</f>
        <v/>
      </c>
      <c r="I82" s="11" cm="1" t="str">
        <f t="array" ref="I82">IF(C82="","",IF(OR(H82="",H82=0,H82=FALSE),"-",H82))</f>
        <v/>
      </c>
      <c r="J82" s="12">
</c>
      <c r="K82" s="9">
</c>
      <c r="L82" s="9" cm="1" t="str">
        <f t="array" ref="L82">IF(C82="","",IF(K82="Mort / Plus rien à faire","KO","OK"))</f>
        <v/>
      </c>
      <c r="M82" s="13">
</c>
      <c r="N82" s="13" cm="1" t="str">
        <f t="array" ref="N82">IF(OR(C82="",M82="",M82=0),"",M82)</f>
        <v/>
      </c>
      <c r="O82" s="13">
</c>
      <c r="P82" s="13" cm="1" t="str">
        <f t="array" ref="P82">IF(C82="","",IF(OR(O82="",O82=0),"-",O82))</f>
        <v/>
      </c>
      <c r="Q82" s="14">
</c>
      <c r="R82" s="9" cm="1" t="str">
        <f t="array" ref="R82">IF(C82="","",ROUND(Q82/1000000,3)&amp;" M€")</f>
        <v/>
      </c>
      <c r="S82" s="15">
</c>
      <c r="T82" s="9" cm="1" t="str">
        <f t="array" ref="T82">IF(C82="","",SUBSTITUTE(S82,"","")&amp;"%")</f>
        <v/>
      </c>
      <c r="U82" s="11" cm="1" t="str">
        <f t="array" ref="U82">IF(($N82="")*($P82=""),"",IF(($N82&lt;&gt;"")*($N82&gt;TODAY()-9)*($N82&lt;TODAY()+1)*($P82&lt;&gt;"")*($P82&gt;=TODAY())*($P82&lt;=TODAY()+13),"Semaine passée &amp; à venir",IF(($N82&lt;&gt;"")*($N82&gt;TODAY()-9)*($N82&lt;TODAY()+1),"Semaine passée",IF(($P82&lt;&gt;"")*($P82&gt;=TODAY())*($P82&lt;=TODAY()+13),"À venir","Autre"))))</f>
        <v/>
      </c>
      <c r="V82" cm="1" t="n">
        <f t="array" ref="V82">IF(C82&lt;&gt;"",1,0)</f>
        <v>0</v>
      </c>
    </row>
    <row r="83" ht="78.75" customHeight="1">
      <c r="A83" s="9">
</c>
      <c r="B83" s="9">
</c>
      <c r="C83" s="10">
</c>
      <c r="D83" s="10">
</c>
      <c r="E83" s="9">
</c>
      <c r="F83" s="12">
</c>
      <c r="G83" s="11" cm="1" t="str">
        <f t="array" ref="G83">IF(F83="","",SUBSTITUTE(SUBSTITUTE(SUBSTITUTE(SUBSTITUTE(F83,"&lt;li&gt;",CHAR(10)),"&lt;/li&gt;",""),"&lt;br&gt;",CHAR(10)),"&lt;strong&gt;",""))</f>
        <v/>
      </c>
      <c r="H83" s="11" cm="1" t="str">
        <f t="array" ref="H83">IF(G83="","",SUBSTITUTE(SUBSTITUTE(SUBSTITUTE(SUBSTITUTE(SUBSTITUTE(G83,"&lt;p&gt;",""),"&lt;/p&gt;",""),"&lt;ul&gt;",""),"&lt;/ul&gt;",""),"&lt;/strong&gt;",""))</f>
        <v/>
      </c>
      <c r="I83" s="11" cm="1" t="str">
        <f t="array" ref="I83">IF(C83="","",IF(OR(H83="",H83=0,H83=FALSE),"-",H83))</f>
        <v/>
      </c>
      <c r="J83" s="12">
</c>
      <c r="K83" s="9">
</c>
      <c r="L83" s="9" cm="1" t="str">
        <f t="array" ref="L83">IF(C83="","",IF(K83="Mort / Plus rien à faire","KO","OK"))</f>
        <v/>
      </c>
      <c r="M83" s="13">
</c>
      <c r="N83" s="13" cm="1" t="str">
        <f t="array" ref="N83">IF(OR(C83="",M83="",M83=0),"",M83)</f>
        <v/>
      </c>
      <c r="O83" s="13">
</c>
      <c r="P83" s="13" cm="1" t="str">
        <f t="array" ref="P83">IF(C83="","",IF(OR(O83="",O83=0),"-",O83))</f>
        <v/>
      </c>
      <c r="Q83" s="14">
</c>
      <c r="R83" s="9" cm="1" t="str">
        <f t="array" ref="R83">IF(C83="","",ROUND(Q83/1000000,3)&amp;" M€")</f>
        <v/>
      </c>
      <c r="S83" s="15">
</c>
      <c r="T83" s="9" cm="1" t="str">
        <f t="array" ref="T83">IF(C83="","",SUBSTITUTE(S83,"","")&amp;"%")</f>
        <v/>
      </c>
      <c r="U83" s="11" cm="1" t="str">
        <f t="array" ref="U83">IF(($N83="")*($P83=""),"",IF(($N83&lt;&gt;"")*($N83&gt;TODAY()-9)*($N83&lt;TODAY()+1)*($P83&lt;&gt;"")*($P83&gt;=TODAY())*($P83&lt;=TODAY()+13),"Semaine passée &amp; à venir",IF(($N83&lt;&gt;"")*($N83&gt;TODAY()-9)*($N83&lt;TODAY()+1),"Semaine passée",IF(($P83&lt;&gt;"")*($P83&gt;=TODAY())*($P83&lt;=TODAY()+13),"À venir","Autre"))))</f>
        <v/>
      </c>
      <c r="V83" cm="1" t="n">
        <f t="array" ref="V83">IF(C83&lt;&gt;"",1,0)</f>
        <v>0</v>
      </c>
    </row>
    <row r="84" ht="78.75" customHeight="1">
      <c r="A84" s="9">
</c>
      <c r="B84" s="9">
</c>
      <c r="C84" s="10">
</c>
      <c r="D84" s="10">
</c>
      <c r="E84" s="9">
</c>
      <c r="F84" s="12">
</c>
      <c r="G84" s="11" cm="1" t="str">
        <f t="array" ref="G84">IF(F84="","",SUBSTITUTE(SUBSTITUTE(SUBSTITUTE(SUBSTITUTE(F84,"&lt;li&gt;",CHAR(10)),"&lt;/li&gt;",""),"&lt;br&gt;",CHAR(10)),"&lt;strong&gt;",""))</f>
        <v/>
      </c>
      <c r="H84" s="11" cm="1" t="str">
        <f t="array" ref="H84">IF(G84="","",SUBSTITUTE(SUBSTITUTE(SUBSTITUTE(SUBSTITUTE(SUBSTITUTE(G84,"&lt;p&gt;",""),"&lt;/p&gt;",""),"&lt;ul&gt;",""),"&lt;/ul&gt;",""),"&lt;/strong&gt;",""))</f>
        <v/>
      </c>
      <c r="I84" s="11" cm="1" t="str">
        <f t="array" ref="I84">IF(C84="","",IF(OR(H84="",H84=0,H84=FALSE),"-",H84))</f>
        <v/>
      </c>
      <c r="J84" s="12">
</c>
      <c r="K84" s="9">
</c>
      <c r="L84" s="9" cm="1" t="str">
        <f t="array" ref="L84">IF(C84="","",IF(K84="Mort / Plus rien à faire","KO","OK"))</f>
        <v/>
      </c>
      <c r="M84" s="13">
</c>
      <c r="N84" s="13" cm="1" t="str">
        <f t="array" ref="N84">IF(OR(C84="",M84="",M84=0),"",M84)</f>
        <v/>
      </c>
      <c r="O84" s="13">
</c>
      <c r="P84" s="13" cm="1" t="str">
        <f t="array" ref="P84">IF(C84="","",IF(OR(O84="",O84=0),"-",O84))</f>
        <v/>
      </c>
      <c r="Q84" s="14">
</c>
      <c r="R84" s="9" cm="1" t="str">
        <f t="array" ref="R84">IF(C84="","",ROUND(Q84/1000000,3)&amp;" M€")</f>
        <v/>
      </c>
      <c r="S84" s="15">
</c>
      <c r="T84" s="9" cm="1" t="str">
        <f t="array" ref="T84">IF(C84="","",SUBSTITUTE(S84,"","")&amp;"%")</f>
        <v/>
      </c>
      <c r="U84" s="11" cm="1" t="str">
        <f t="array" ref="U84">IF(($N84="")*($P84=""),"",IF(($N84&lt;&gt;"")*($N84&gt;TODAY()-9)*($N84&lt;TODAY()+1)*($P84&lt;&gt;"")*($P84&gt;=TODAY())*($P84&lt;=TODAY()+13),"Semaine passée &amp; à venir",IF(($N84&lt;&gt;"")*($N84&gt;TODAY()-9)*($N84&lt;TODAY()+1),"Semaine passée",IF(($P84&lt;&gt;"")*($P84&gt;=TODAY())*($P84&lt;=TODAY()+13),"À venir","Autre"))))</f>
        <v/>
      </c>
      <c r="V84" cm="1" t="n">
        <f t="array" ref="V84">IF(C84&lt;&gt;"",1,0)</f>
        <v>0</v>
      </c>
    </row>
    <row r="85" ht="78.75" customHeight="1">
      <c r="A85" s="9">
</c>
      <c r="B85" s="9">
</c>
      <c r="C85" s="10">
</c>
      <c r="D85" s="10">
</c>
      <c r="E85" s="9">
</c>
      <c r="F85" s="12">
</c>
      <c r="G85" s="11" cm="1" t="str">
        <f t="array" ref="G85">IF(F85="","",SUBSTITUTE(SUBSTITUTE(SUBSTITUTE(SUBSTITUTE(F85,"&lt;li&gt;",CHAR(10)),"&lt;/li&gt;",""),"&lt;br&gt;",CHAR(10)),"&lt;strong&gt;",""))</f>
        <v/>
      </c>
      <c r="H85" s="11" cm="1" t="str">
        <f t="array" ref="H85">IF(G85="","",SUBSTITUTE(SUBSTITUTE(SUBSTITUTE(SUBSTITUTE(SUBSTITUTE(G85,"&lt;p&gt;",""),"&lt;/p&gt;",""),"&lt;ul&gt;",""),"&lt;/ul&gt;",""),"&lt;/strong&gt;",""))</f>
        <v/>
      </c>
      <c r="I85" s="11" cm="1" t="str">
        <f t="array" ref="I85">IF(C85="","",IF(OR(H85="",H85=0,H85=FALSE),"-",H85))</f>
        <v/>
      </c>
      <c r="J85" s="12">
</c>
      <c r="K85" s="9">
</c>
      <c r="L85" s="9" cm="1" t="str">
        <f t="array" ref="L85">IF(C85="","",IF(K85="Mort / Plus rien à faire","KO","OK"))</f>
        <v/>
      </c>
      <c r="M85" s="13">
</c>
      <c r="N85" s="13" cm="1" t="str">
        <f t="array" ref="N85">IF(OR(C85="",M85="",M85=0),"",M85)</f>
        <v/>
      </c>
      <c r="O85" s="13">
</c>
      <c r="P85" s="13" cm="1" t="str">
        <f t="array" ref="P85">IF(C85="","",IF(OR(O85="",O85=0),"-",O85))</f>
        <v/>
      </c>
      <c r="Q85" s="14">
</c>
      <c r="R85" s="9" cm="1" t="str">
        <f t="array" ref="R85">IF(C85="","",ROUND(Q85/1000000,3)&amp;" M€")</f>
        <v/>
      </c>
      <c r="S85" s="15">
</c>
      <c r="T85" s="9" cm="1" t="str">
        <f t="array" ref="T85">IF(C85="","",SUBSTITUTE(S85,"","")&amp;"%")</f>
        <v/>
      </c>
      <c r="U85" s="11" cm="1" t="str">
        <f t="array" ref="U85">IF(($N85="")*($P85=""),"",IF(($N85&lt;&gt;"")*($N85&gt;TODAY()-9)*($N85&lt;TODAY()+1)*($P85&lt;&gt;"")*($P85&gt;=TODAY())*($P85&lt;=TODAY()+13),"Semaine passée &amp; à venir",IF(($N85&lt;&gt;"")*($N85&gt;TODAY()-9)*($N85&lt;TODAY()+1),"Semaine passée",IF(($P85&lt;&gt;"")*($P85&gt;=TODAY())*($P85&lt;=TODAY()+13),"À venir","Autre"))))</f>
        <v/>
      </c>
      <c r="V85" cm="1" t="n">
        <f t="array" ref="V85">IF(C85&lt;&gt;"",1,0)</f>
        <v>0</v>
      </c>
    </row>
    <row r="86" ht="78.75" customHeight="1">
      <c r="A86" s="9">
</c>
      <c r="B86" s="9">
</c>
      <c r="C86" s="10">
</c>
      <c r="D86" s="10">
</c>
      <c r="E86" s="9">
</c>
      <c r="F86" s="12">
</c>
      <c r="G86" s="11" cm="1" t="str">
        <f t="array" ref="G86">IF(F86="","",SUBSTITUTE(SUBSTITUTE(SUBSTITUTE(SUBSTITUTE(F86,"&lt;li&gt;",CHAR(10)),"&lt;/li&gt;",""),"&lt;br&gt;",CHAR(10)),"&lt;strong&gt;",""))</f>
        <v/>
      </c>
      <c r="H86" s="11" cm="1" t="str">
        <f t="array" ref="H86">IF(G86="","",SUBSTITUTE(SUBSTITUTE(SUBSTITUTE(SUBSTITUTE(SUBSTITUTE(G86,"&lt;p&gt;",""),"&lt;/p&gt;",""),"&lt;ul&gt;",""),"&lt;/ul&gt;",""),"&lt;/strong&gt;",""))</f>
        <v/>
      </c>
      <c r="I86" s="11" cm="1" t="str">
        <f t="array" ref="I86">IF(C86="","",IF(OR(H86="",H86=0,H86=FALSE),"-",H86))</f>
        <v/>
      </c>
      <c r="J86" s="12">
</c>
      <c r="K86" s="9">
</c>
      <c r="L86" s="9" cm="1" t="str">
        <f t="array" ref="L86">IF(C86="","",IF(K86="Mort / Plus rien à faire","KO","OK"))</f>
        <v/>
      </c>
      <c r="M86" s="13">
</c>
      <c r="N86" s="13" cm="1" t="str">
        <f t="array" ref="N86">IF(OR(C86="",M86="",M86=0),"",M86)</f>
        <v/>
      </c>
      <c r="O86" s="13">
</c>
      <c r="P86" s="13" cm="1" t="str">
        <f t="array" ref="P86">IF(C86="","",IF(OR(O86="",O86=0),"-",O86))</f>
        <v/>
      </c>
      <c r="Q86" s="14">
</c>
      <c r="R86" s="9" cm="1" t="str">
        <f t="array" ref="R86">IF(C86="","",ROUND(Q86/1000000,3)&amp;" M€")</f>
        <v/>
      </c>
      <c r="S86" s="15">
</c>
      <c r="T86" s="9" cm="1" t="str">
        <f t="array" ref="T86">IF(C86="","",SUBSTITUTE(S86,"","")&amp;"%")</f>
        <v/>
      </c>
      <c r="U86" s="11" cm="1" t="str">
        <f t="array" ref="U86">IF(($N86="")*($P86=""),"",IF(($N86&lt;&gt;"")*($N86&gt;TODAY()-9)*($N86&lt;TODAY()+1)*($P86&lt;&gt;"")*($P86&gt;=TODAY())*($P86&lt;=TODAY()+13),"Semaine passée &amp; à venir",IF(($N86&lt;&gt;"")*($N86&gt;TODAY()-9)*($N86&lt;TODAY()+1),"Semaine passée",IF(($P86&lt;&gt;"")*($P86&gt;=TODAY())*($P86&lt;=TODAY()+13),"À venir","Autre"))))</f>
        <v/>
      </c>
      <c r="V86" cm="1" t="n">
        <f t="array" ref="V86">IF(C86&lt;&gt;"",1,0)</f>
        <v>0</v>
      </c>
    </row>
    <row r="87" ht="78.75" customHeight="1">
      <c r="A87" s="9">
</c>
      <c r="B87" s="9">
</c>
      <c r="C87" s="10">
</c>
      <c r="D87" s="10">
</c>
      <c r="E87" s="9">
</c>
      <c r="F87" s="12">
</c>
      <c r="G87" s="11" cm="1" t="str">
        <f t="array" ref="G87">IF(F87="","",SUBSTITUTE(SUBSTITUTE(SUBSTITUTE(SUBSTITUTE(F87,"&lt;li&gt;",CHAR(10)),"&lt;/li&gt;",""),"&lt;br&gt;",CHAR(10)),"&lt;strong&gt;",""))</f>
        <v/>
      </c>
      <c r="H87" s="11" cm="1" t="str">
        <f t="array" ref="H87">IF(G87="","",SUBSTITUTE(SUBSTITUTE(SUBSTITUTE(SUBSTITUTE(SUBSTITUTE(G87,"&lt;p&gt;",""),"&lt;/p&gt;",""),"&lt;ul&gt;",""),"&lt;/ul&gt;",""),"&lt;/strong&gt;",""))</f>
        <v/>
      </c>
      <c r="I87" s="11" cm="1" t="str">
        <f t="array" ref="I87">IF(C87="","",IF(OR(H87="",H87=0,H87=FALSE),"-",H87))</f>
        <v/>
      </c>
      <c r="J87" s="12">
</c>
      <c r="K87" s="9">
</c>
      <c r="L87" s="9" cm="1" t="str">
        <f t="array" ref="L87">IF(C87="","",IF(K87="Mort / Plus rien à faire","KO","OK"))</f>
        <v/>
      </c>
      <c r="M87" s="13">
</c>
      <c r="N87" s="13" cm="1" t="str">
        <f t="array" ref="N87">IF(OR(C87="",M87="",M87=0),"",M87)</f>
        <v/>
      </c>
      <c r="O87" s="13">
</c>
      <c r="P87" s="13" cm="1" t="str">
        <f t="array" ref="P87">IF(C87="","",IF(OR(O87="",O87=0),"-",O87))</f>
        <v/>
      </c>
      <c r="Q87" s="14">
</c>
      <c r="R87" s="9" cm="1" t="str">
        <f t="array" ref="R87">IF(C87="","",ROUND(Q87/1000000,3)&amp;" M€")</f>
        <v/>
      </c>
      <c r="S87" s="15">
</c>
      <c r="T87" s="9" cm="1" t="str">
        <f t="array" ref="T87">IF(C87="","",SUBSTITUTE(S87,"","")&amp;"%")</f>
        <v/>
      </c>
      <c r="U87" s="11" cm="1" t="str">
        <f t="array" ref="U87">IF(($N87="")*($P87=""),"",IF(($N87&lt;&gt;"")*($N87&gt;TODAY()-9)*($N87&lt;TODAY()+1)*($P87&lt;&gt;"")*($P87&gt;=TODAY())*($P87&lt;=TODAY()+13),"Semaine passée &amp; à venir",IF(($N87&lt;&gt;"")*($N87&gt;TODAY()-9)*($N87&lt;TODAY()+1),"Semaine passée",IF(($P87&lt;&gt;"")*($P87&gt;=TODAY())*($P87&lt;=TODAY()+13),"À venir","Autre"))))</f>
        <v/>
      </c>
      <c r="V87" cm="1" t="n">
        <f t="array" ref="V87">IF(C87&lt;&gt;"",1,0)</f>
        <v>0</v>
      </c>
    </row>
    <row r="88" ht="78.75" customHeight="1">
      <c r="A88" s="9">
</c>
      <c r="B88" s="9">
</c>
      <c r="C88" s="10">
</c>
      <c r="D88" s="10">
</c>
      <c r="E88" s="9">
</c>
      <c r="F88" s="12">
</c>
      <c r="G88" s="11" cm="1" t="str">
        <f t="array" ref="G88">IF(F88="","",SUBSTITUTE(SUBSTITUTE(SUBSTITUTE(SUBSTITUTE(F88,"&lt;li&gt;",CHAR(10)),"&lt;/li&gt;",""),"&lt;br&gt;",CHAR(10)),"&lt;strong&gt;",""))</f>
        <v/>
      </c>
      <c r="H88" s="11" cm="1" t="str">
        <f t="array" ref="H88">IF(G88="","",SUBSTITUTE(SUBSTITUTE(SUBSTITUTE(SUBSTITUTE(SUBSTITUTE(G88,"&lt;p&gt;",""),"&lt;/p&gt;",""),"&lt;ul&gt;",""),"&lt;/ul&gt;",""),"&lt;/strong&gt;",""))</f>
        <v/>
      </c>
      <c r="I88" s="11" cm="1" t="str">
        <f t="array" ref="I88">IF(C88="","",IF(OR(H88="",H88=0,H88=FALSE),"-",H88))</f>
        <v/>
      </c>
      <c r="J88" s="12">
</c>
      <c r="K88" s="9">
</c>
      <c r="L88" s="9" cm="1" t="str">
        <f t="array" ref="L88">IF(C88="","",IF(K88="Mort / Plus rien à faire","KO","OK"))</f>
        <v/>
      </c>
      <c r="M88" s="13">
</c>
      <c r="N88" s="13" cm="1" t="str">
        <f t="array" ref="N88">IF(OR(C88="",M88="",M88=0),"",M88)</f>
        <v/>
      </c>
      <c r="O88" s="13">
</c>
      <c r="P88" s="13" cm="1" t="str">
        <f t="array" ref="P88">IF(C88="","",IF(OR(O88="",O88=0),"-",O88))</f>
        <v/>
      </c>
      <c r="Q88" s="14">
</c>
      <c r="R88" s="9" cm="1" t="str">
        <f t="array" ref="R88">IF(C88="","",ROUND(Q88/1000000,3)&amp;" M€")</f>
        <v/>
      </c>
      <c r="S88" s="15">
</c>
      <c r="T88" s="9" cm="1" t="str">
        <f t="array" ref="T88">IF(C88="","",SUBSTITUTE(S88,"","")&amp;"%")</f>
        <v/>
      </c>
      <c r="U88" s="11" cm="1" t="str">
        <f t="array" ref="U88">IF(($N88="")*($P88=""),"",IF(($N88&lt;&gt;"")*($N88&gt;TODAY()-9)*($N88&lt;TODAY()+1)*($P88&lt;&gt;"")*($P88&gt;=TODAY())*($P88&lt;=TODAY()+13),"Semaine passée &amp; à venir",IF(($N88&lt;&gt;"")*($N88&gt;TODAY()-9)*($N88&lt;TODAY()+1),"Semaine passée",IF(($P88&lt;&gt;"")*($P88&gt;=TODAY())*($P88&lt;=TODAY()+13),"À venir","Autre"))))</f>
        <v/>
      </c>
      <c r="V88" cm="1" t="n">
        <f t="array" ref="V88">IF(C88&lt;&gt;"",1,0)</f>
        <v>0</v>
      </c>
    </row>
    <row r="89" ht="78.75" customHeight="1">
      <c r="A89" s="9">
</c>
      <c r="B89" s="9">
</c>
      <c r="C89" s="10">
</c>
      <c r="D89" s="10">
</c>
      <c r="E89" s="9">
</c>
      <c r="F89" s="12">
</c>
      <c r="G89" s="11" cm="1" t="str">
        <f t="array" ref="G89">IF(F89="","",SUBSTITUTE(SUBSTITUTE(SUBSTITUTE(SUBSTITUTE(F89,"&lt;li&gt;",CHAR(10)),"&lt;/li&gt;",""),"&lt;br&gt;",CHAR(10)),"&lt;strong&gt;",""))</f>
        <v/>
      </c>
      <c r="H89" s="11" cm="1" t="str">
        <f t="array" ref="H89">IF(G89="","",SUBSTITUTE(SUBSTITUTE(SUBSTITUTE(SUBSTITUTE(SUBSTITUTE(G89,"&lt;p&gt;",""),"&lt;/p&gt;",""),"&lt;ul&gt;",""),"&lt;/ul&gt;",""),"&lt;/strong&gt;",""))</f>
        <v/>
      </c>
      <c r="I89" s="11" cm="1" t="str">
        <f t="array" ref="I89">IF(C89="","",IF(OR(H89="",H89=0,H89=FALSE),"-",H89))</f>
        <v/>
      </c>
      <c r="J89" s="12">
</c>
      <c r="K89" s="9">
</c>
      <c r="L89" s="9" cm="1" t="str">
        <f t="array" ref="L89">IF(C89="","",IF(K89="Mort / Plus rien à faire","KO","OK"))</f>
        <v/>
      </c>
      <c r="M89" s="13">
</c>
      <c r="N89" s="13" cm="1" t="str">
        <f t="array" ref="N89">IF(OR(C89="",M89="",M89=0),"",M89)</f>
        <v/>
      </c>
      <c r="O89" s="13">
</c>
      <c r="P89" s="13" cm="1" t="str">
        <f t="array" ref="P89">IF(C89="","",IF(OR(O89="",O89=0),"-",O89))</f>
        <v/>
      </c>
      <c r="Q89" s="14">
</c>
      <c r="R89" s="9" cm="1" t="str">
        <f t="array" ref="R89">IF(C89="","",ROUND(Q89/1000000,3)&amp;" M€")</f>
        <v/>
      </c>
      <c r="S89" s="15">
</c>
      <c r="T89" s="9" cm="1" t="str">
        <f t="array" ref="T89">IF(C89="","",SUBSTITUTE(S89,"","")&amp;"%")</f>
        <v/>
      </c>
      <c r="U89" s="11" cm="1" t="str">
        <f t="array" ref="U89">IF(($N89="")*($P89=""),"",IF(($N89&lt;&gt;"")*($N89&gt;TODAY()-9)*($N89&lt;TODAY()+1)*($P89&lt;&gt;"")*($P89&gt;=TODAY())*($P89&lt;=TODAY()+13),"Semaine passée &amp; à venir",IF(($N89&lt;&gt;"")*($N89&gt;TODAY()-9)*($N89&lt;TODAY()+1),"Semaine passée",IF(($P89&lt;&gt;"")*($P89&gt;=TODAY())*($P89&lt;=TODAY()+13),"À venir","Autre"))))</f>
        <v/>
      </c>
      <c r="V89" cm="1" t="n">
        <f t="array" ref="V89">IF(C89&lt;&gt;"",1,0)</f>
        <v>0</v>
      </c>
    </row>
    <row r="90" ht="78.75" customHeight="1">
      <c r="A90" s="9">
</c>
      <c r="B90" s="9">
</c>
      <c r="C90" s="10">
</c>
      <c r="D90" s="10">
</c>
      <c r="E90" s="9">
</c>
      <c r="F90" s="12">
</c>
      <c r="G90" s="11" cm="1" t="str">
        <f t="array" ref="G90">IF(F90="","",SUBSTITUTE(SUBSTITUTE(SUBSTITUTE(SUBSTITUTE(F90,"&lt;li&gt;",CHAR(10)),"&lt;/li&gt;",""),"&lt;br&gt;",CHAR(10)),"&lt;strong&gt;",""))</f>
        <v/>
      </c>
      <c r="H90" s="11" cm="1" t="str">
        <f t="array" ref="H90">IF(G90="","",SUBSTITUTE(SUBSTITUTE(SUBSTITUTE(SUBSTITUTE(SUBSTITUTE(G90,"&lt;p&gt;",""),"&lt;/p&gt;",""),"&lt;ul&gt;",""),"&lt;/ul&gt;",""),"&lt;/strong&gt;",""))</f>
        <v/>
      </c>
      <c r="I90" s="11" cm="1" t="str">
        <f t="array" ref="I90">IF(C90="","",IF(OR(H90="",H90=0,H90=FALSE),"-",H90))</f>
        <v/>
      </c>
      <c r="J90" s="12">
</c>
      <c r="K90" s="9">
</c>
      <c r="L90" s="9" cm="1" t="str">
        <f t="array" ref="L90">IF(C90="","",IF(K90="Mort / Plus rien à faire","KO","OK"))</f>
        <v/>
      </c>
      <c r="M90" s="13">
</c>
      <c r="N90" s="13" cm="1" t="str">
        <f t="array" ref="N90">IF(OR(C90="",M90="",M90=0),"",M90)</f>
        <v/>
      </c>
      <c r="O90" s="13">
</c>
      <c r="P90" s="13" cm="1" t="str">
        <f t="array" ref="P90">IF(C90="","",IF(OR(O90="",O90=0),"-",O90))</f>
        <v/>
      </c>
      <c r="Q90" s="14">
</c>
      <c r="R90" s="9" cm="1" t="str">
        <f t="array" ref="R90">IF(C90="","",ROUND(Q90/1000000,3)&amp;" M€")</f>
        <v/>
      </c>
      <c r="S90" s="15">
</c>
      <c r="T90" s="9" cm="1" t="str">
        <f t="array" ref="T90">IF(C90="","",SUBSTITUTE(S90,"","")&amp;"%")</f>
        <v/>
      </c>
      <c r="U90" s="11" cm="1" t="str">
        <f t="array" ref="U90">IF(($N90="")*($P90=""),"",IF(($N90&lt;&gt;"")*($N90&gt;TODAY()-9)*($N90&lt;TODAY()+1)*($P90&lt;&gt;"")*($P90&gt;=TODAY())*($P90&lt;=TODAY()+13),"Semaine passée &amp; à venir",IF(($N90&lt;&gt;"")*($N90&gt;TODAY()-9)*($N90&lt;TODAY()+1),"Semaine passée",IF(($P90&lt;&gt;"")*($P90&gt;=TODAY())*($P90&lt;=TODAY()+13),"À venir","Autre"))))</f>
        <v/>
      </c>
      <c r="V90" cm="1" t="n">
        <f t="array" ref="V90">IF(C90&lt;&gt;"",1,0)</f>
        <v>0</v>
      </c>
    </row>
    <row r="91" ht="78.75" customHeight="1">
      <c r="A91" s="9">
</c>
      <c r="B91" s="9">
</c>
      <c r="C91" s="10">
</c>
      <c r="D91" s="10">
</c>
      <c r="E91" s="9">
</c>
      <c r="F91" s="12">
</c>
      <c r="G91" s="11" cm="1" t="str">
        <f t="array" ref="G91">IF(F91="","",SUBSTITUTE(SUBSTITUTE(SUBSTITUTE(SUBSTITUTE(F91,"&lt;li&gt;",CHAR(10)),"&lt;/li&gt;",""),"&lt;br&gt;",CHAR(10)),"&lt;strong&gt;",""))</f>
        <v/>
      </c>
      <c r="H91" s="11" cm="1" t="str">
        <f t="array" ref="H91">IF(G91="","",SUBSTITUTE(SUBSTITUTE(SUBSTITUTE(SUBSTITUTE(SUBSTITUTE(G91,"&lt;p&gt;",""),"&lt;/p&gt;",""),"&lt;ul&gt;",""),"&lt;/ul&gt;",""),"&lt;/strong&gt;",""))</f>
        <v/>
      </c>
      <c r="I91" s="11" cm="1" t="str">
        <f t="array" ref="I91">IF(C91="","",IF(OR(H91="",H91=0,H91=FALSE),"-",H91))</f>
        <v/>
      </c>
      <c r="J91" s="12">
</c>
      <c r="K91" s="9">
</c>
      <c r="L91" s="9" cm="1" t="str">
        <f t="array" ref="L91">IF(C91="","",IF(K91="Mort / Plus rien à faire","KO","OK"))</f>
        <v/>
      </c>
      <c r="M91" s="13">
</c>
      <c r="N91" s="13" cm="1" t="str">
        <f t="array" ref="N91">IF(OR(C91="",M91="",M91=0),"",M91)</f>
        <v/>
      </c>
      <c r="O91" s="13">
</c>
      <c r="P91" s="13" cm="1" t="str">
        <f t="array" ref="P91">IF(C91="","",IF(OR(O91="",O91=0),"-",O91))</f>
        <v/>
      </c>
      <c r="Q91" s="14">
</c>
      <c r="R91" s="9" cm="1" t="str">
        <f t="array" ref="R91">IF(C91="","",ROUND(Q91/1000000,3)&amp;" M€")</f>
        <v/>
      </c>
      <c r="S91" s="15">
</c>
      <c r="T91" s="9" cm="1" t="str">
        <f t="array" ref="T91">IF(C91="","",SUBSTITUTE(S91,"","")&amp;"%")</f>
        <v/>
      </c>
      <c r="U91" s="11" cm="1" t="str">
        <f t="array" ref="U91">IF(($N91="")*($P91=""),"",IF(($N91&lt;&gt;"")*($N91&gt;TODAY()-9)*($N91&lt;TODAY()+1)*($P91&lt;&gt;"")*($P91&gt;=TODAY())*($P91&lt;=TODAY()+13),"Semaine passée &amp; à venir",IF(($N91&lt;&gt;"")*($N91&gt;TODAY()-9)*($N91&lt;TODAY()+1),"Semaine passée",IF(($P91&lt;&gt;"")*($P91&gt;=TODAY())*($P91&lt;=TODAY()+13),"À venir","Autre"))))</f>
        <v/>
      </c>
      <c r="V91" cm="1" t="n">
        <f t="array" ref="V91">IF(C91&lt;&gt;"",1,0)</f>
        <v>0</v>
      </c>
    </row>
    <row r="92" ht="78.75" customHeight="1">
      <c r="A92" s="9">
</c>
      <c r="B92" s="9">
</c>
      <c r="C92" s="10">
</c>
      <c r="D92" s="10">
</c>
      <c r="E92" s="9">
</c>
      <c r="F92" s="12">
</c>
      <c r="G92" s="11" cm="1" t="str">
        <f t="array" ref="G92">IF(F92="","",SUBSTITUTE(SUBSTITUTE(SUBSTITUTE(SUBSTITUTE(F92,"&lt;li&gt;",CHAR(10)),"&lt;/li&gt;",""),"&lt;br&gt;",CHAR(10)),"&lt;strong&gt;",""))</f>
        <v/>
      </c>
      <c r="H92" s="11" cm="1" t="str">
        <f t="array" ref="H92">IF(G92="","",SUBSTITUTE(SUBSTITUTE(SUBSTITUTE(SUBSTITUTE(SUBSTITUTE(G92,"&lt;p&gt;",""),"&lt;/p&gt;",""),"&lt;ul&gt;",""),"&lt;/ul&gt;",""),"&lt;/strong&gt;",""))</f>
        <v/>
      </c>
      <c r="I92" s="11" cm="1" t="str">
        <f t="array" ref="I92">IF(C92="","",IF(OR(H92="",H92=0,H92=FALSE),"-",H92))</f>
        <v/>
      </c>
      <c r="J92" s="12">
</c>
      <c r="K92" s="9">
</c>
      <c r="L92" s="9" cm="1" t="str">
        <f t="array" ref="L92">IF(C92="","",IF(K92="Mort / Plus rien à faire","KO","OK"))</f>
        <v/>
      </c>
      <c r="M92" s="13">
</c>
      <c r="N92" s="13" cm="1" t="str">
        <f t="array" ref="N92">IF(OR(C92="",M92="",M92=0),"",M92)</f>
        <v/>
      </c>
      <c r="O92" s="13">
</c>
      <c r="P92" s="13" cm="1" t="str">
        <f t="array" ref="P92">IF(C92="","",IF(OR(O92="",O92=0),"-",O92))</f>
        <v/>
      </c>
      <c r="Q92" s="14">
</c>
      <c r="R92" s="9" cm="1" t="str">
        <f t="array" ref="R92">IF(C92="","",ROUND(Q92/1000000,3)&amp;" M€")</f>
        <v/>
      </c>
      <c r="S92" s="15">
</c>
      <c r="T92" s="9" cm="1" t="str">
        <f t="array" ref="T92">IF(C92="","",SUBSTITUTE(S92,"","")&amp;"%")</f>
        <v/>
      </c>
      <c r="U92" s="11" cm="1" t="str">
        <f t="array" ref="U92">IF(($N92="")*($P92=""),"",IF(($N92&lt;&gt;"")*($N92&gt;TODAY()-9)*($N92&lt;TODAY()+1)*($P92&lt;&gt;"")*($P92&gt;=TODAY())*($P92&lt;=TODAY()+13),"Semaine passée &amp; à venir",IF(($N92&lt;&gt;"")*($N92&gt;TODAY()-9)*($N92&lt;TODAY()+1),"Semaine passée",IF(($P92&lt;&gt;"")*($P92&gt;=TODAY())*($P92&lt;=TODAY()+13),"À venir","Autre"))))</f>
        <v/>
      </c>
      <c r="V92" cm="1" t="n">
        <f t="array" ref="V92">IF(C92&lt;&gt;"",1,0)</f>
        <v>0</v>
      </c>
    </row>
    <row r="93" ht="78.75" customHeight="1">
      <c r="A93" s="9">
</c>
      <c r="B93" s="9">
</c>
      <c r="C93" s="10">
</c>
      <c r="D93" s="10">
</c>
      <c r="E93" s="9">
</c>
      <c r="F93" s="12">
</c>
      <c r="G93" s="11" cm="1" t="str">
        <f t="array" ref="G93">IF(F93="","",SUBSTITUTE(SUBSTITUTE(SUBSTITUTE(SUBSTITUTE(F93,"&lt;li&gt;",CHAR(10)),"&lt;/li&gt;",""),"&lt;br&gt;",CHAR(10)),"&lt;strong&gt;",""))</f>
        <v/>
      </c>
      <c r="H93" s="11" cm="1" t="str">
        <f t="array" ref="H93">IF(G93="","",SUBSTITUTE(SUBSTITUTE(SUBSTITUTE(SUBSTITUTE(SUBSTITUTE(G93,"&lt;p&gt;",""),"&lt;/p&gt;",""),"&lt;ul&gt;",""),"&lt;/ul&gt;",""),"&lt;/strong&gt;",""))</f>
        <v/>
      </c>
      <c r="I93" s="11" cm="1" t="str">
        <f t="array" ref="I93">IF(C93="","",IF(OR(H93="",H93=0,H93=FALSE),"-",H93))</f>
        <v/>
      </c>
      <c r="J93" s="12">
</c>
      <c r="K93" s="9">
</c>
      <c r="L93" s="9" cm="1" t="str">
        <f t="array" ref="L93">IF(C93="","",IF(K93="Mort / Plus rien à faire","KO","OK"))</f>
        <v/>
      </c>
      <c r="M93" s="13">
</c>
      <c r="N93" s="13" cm="1" t="str">
        <f t="array" ref="N93">IF(OR(C93="",M93="",M93=0),"",M93)</f>
        <v/>
      </c>
      <c r="O93" s="13">
</c>
      <c r="P93" s="13" cm="1" t="str">
        <f t="array" ref="P93">IF(C93="","",IF(OR(O93="",O93=0),"-",O93))</f>
        <v/>
      </c>
      <c r="Q93" s="14">
</c>
      <c r="R93" s="9" cm="1" t="str">
        <f t="array" ref="R93">IF(C93="","",ROUND(Q93/1000000,3)&amp;" M€")</f>
        <v/>
      </c>
      <c r="S93" s="15">
</c>
      <c r="T93" s="9" cm="1" t="str">
        <f t="array" ref="T93">IF(C93="","",SUBSTITUTE(S93,"","")&amp;"%")</f>
        <v/>
      </c>
      <c r="U93" s="11" cm="1" t="str">
        <f t="array" ref="U93">IF(($N93="")*($P93=""),"",IF(($N93&lt;&gt;"")*($N93&gt;TODAY()-9)*($N93&lt;TODAY()+1)*($P93&lt;&gt;"")*($P93&gt;=TODAY())*($P93&lt;=TODAY()+13),"Semaine passée &amp; à venir",IF(($N93&lt;&gt;"")*($N93&gt;TODAY()-9)*($N93&lt;TODAY()+1),"Semaine passée",IF(($P93&lt;&gt;"")*($P93&gt;=TODAY())*($P93&lt;=TODAY()+13),"À venir","Autre"))))</f>
        <v/>
      </c>
      <c r="V93" cm="1" t="n">
        <f t="array" ref="V93">IF(C93&lt;&gt;"",1,0)</f>
        <v>0</v>
      </c>
    </row>
    <row r="94" ht="78.75" customHeight="1">
      <c r="A94" s="9">
</c>
      <c r="B94" s="9">
</c>
      <c r="C94" s="10">
</c>
      <c r="D94" s="10">
</c>
      <c r="E94" s="9">
</c>
      <c r="F94" s="12">
</c>
      <c r="G94" s="11" cm="1" t="str">
        <f t="array" ref="G94">IF(F94="","",SUBSTITUTE(SUBSTITUTE(SUBSTITUTE(SUBSTITUTE(F94,"&lt;li&gt;",CHAR(10)),"&lt;/li&gt;",""),"&lt;br&gt;",CHAR(10)),"&lt;strong&gt;",""))</f>
        <v/>
      </c>
      <c r="H94" s="11" cm="1" t="str">
        <f t="array" ref="H94">IF(G94="","",SUBSTITUTE(SUBSTITUTE(SUBSTITUTE(SUBSTITUTE(SUBSTITUTE(G94,"&lt;p&gt;",""),"&lt;/p&gt;",""),"&lt;ul&gt;",""),"&lt;/ul&gt;",""),"&lt;/strong&gt;",""))</f>
        <v/>
      </c>
      <c r="I94" s="11" cm="1" t="str">
        <f t="array" ref="I94">IF(C94="","",IF(OR(H94="",H94=0,H94=FALSE),"-",H94))</f>
        <v/>
      </c>
      <c r="J94" s="12">
</c>
      <c r="K94" s="9">
</c>
      <c r="L94" s="9" cm="1" t="str">
        <f t="array" ref="L94">IF(C94="","",IF(K94="Mort / Plus rien à faire","KO","OK"))</f>
        <v/>
      </c>
      <c r="M94" s="13">
</c>
      <c r="N94" s="13" cm="1" t="str">
        <f t="array" ref="N94">IF(OR(C94="",M94="",M94=0),"",M94)</f>
        <v/>
      </c>
      <c r="O94" s="13">
</c>
      <c r="P94" s="13" cm="1" t="str">
        <f t="array" ref="P94">IF(C94="","",IF(OR(O94="",O94=0),"-",O94))</f>
        <v/>
      </c>
      <c r="Q94" s="14">
</c>
      <c r="R94" s="9" cm="1" t="str">
        <f t="array" ref="R94">IF(C94="","",ROUND(Q94/1000000,3)&amp;" M€")</f>
        <v/>
      </c>
      <c r="S94" s="15">
</c>
      <c r="T94" s="9" cm="1" t="str">
        <f t="array" ref="T94">IF(C94="","",SUBSTITUTE(S94,"","")&amp;"%")</f>
        <v/>
      </c>
      <c r="U94" s="11" cm="1" t="str">
        <f t="array" ref="U94">IF(($N94="")*($P94=""),"",IF(($N94&lt;&gt;"")*($N94&gt;TODAY()-9)*($N94&lt;TODAY()+1)*($P94&lt;&gt;"")*($P94&gt;=TODAY())*($P94&lt;=TODAY()+13),"Semaine passée &amp; à venir",IF(($N94&lt;&gt;"")*($N94&gt;TODAY()-9)*($N94&lt;TODAY()+1),"Semaine passée",IF(($P94&lt;&gt;"")*($P94&gt;=TODAY())*($P94&lt;=TODAY()+13),"À venir","Autre"))))</f>
        <v/>
      </c>
      <c r="V94" cm="1" t="n">
        <f t="array" ref="V94">IF(C94&lt;&gt;"",1,0)</f>
        <v>0</v>
      </c>
    </row>
    <row r="95" ht="78.75" customHeight="1">
      <c r="A95" s="9">
</c>
      <c r="B95" s="9">
</c>
      <c r="C95" s="10">
</c>
      <c r="D95" s="10">
</c>
      <c r="E95" s="9">
</c>
      <c r="F95" s="12">
</c>
      <c r="G95" s="11" cm="1" t="str">
        <f t="array" ref="G95">IF(F95="","",SUBSTITUTE(SUBSTITUTE(SUBSTITUTE(SUBSTITUTE(F95,"&lt;li&gt;",CHAR(10)),"&lt;/li&gt;",""),"&lt;br&gt;",CHAR(10)),"&lt;strong&gt;",""))</f>
        <v/>
      </c>
      <c r="H95" s="11" cm="1" t="str">
        <f t="array" ref="H95">IF(G95="","",SUBSTITUTE(SUBSTITUTE(SUBSTITUTE(SUBSTITUTE(SUBSTITUTE(G95,"&lt;p&gt;",""),"&lt;/p&gt;",""),"&lt;ul&gt;",""),"&lt;/ul&gt;",""),"&lt;/strong&gt;",""))</f>
        <v/>
      </c>
      <c r="I95" s="11" cm="1" t="str">
        <f t="array" ref="I95">IF(C95="","",IF(OR(H95="",H95=0,H95=FALSE),"-",H95))</f>
        <v/>
      </c>
      <c r="J95" s="12">
</c>
      <c r="K95" s="9">
</c>
      <c r="L95" s="9" cm="1" t="str">
        <f t="array" ref="L95">IF(C95="","",IF(K95="Mort / Plus rien à faire","KO","OK"))</f>
        <v/>
      </c>
      <c r="M95" s="13">
</c>
      <c r="N95" s="13" cm="1" t="str">
        <f t="array" ref="N95">IF(OR(C95="",M95="",M95=0),"",M95)</f>
        <v/>
      </c>
      <c r="O95" s="13">
</c>
      <c r="P95" s="13" cm="1" t="str">
        <f t="array" ref="P95">IF(C95="","",IF(OR(O95="",O95=0),"-",O95))</f>
        <v/>
      </c>
      <c r="Q95" s="14">
</c>
      <c r="R95" s="9" cm="1" t="str">
        <f t="array" ref="R95">IF(C95="","",ROUND(Q95/1000000,3)&amp;" M€")</f>
        <v/>
      </c>
      <c r="S95" s="15">
</c>
      <c r="T95" s="9" cm="1" t="str">
        <f t="array" ref="T95">IF(C95="","",SUBSTITUTE(S95,"","")&amp;"%")</f>
        <v/>
      </c>
      <c r="U95" s="11" cm="1" t="str">
        <f t="array" ref="U95">IF(($N95="")*($P95=""),"",IF(($N95&lt;&gt;"")*($N95&gt;TODAY()-9)*($N95&lt;TODAY()+1)*($P95&lt;&gt;"")*($P95&gt;=TODAY())*($P95&lt;=TODAY()+13),"Semaine passée &amp; à venir",IF(($N95&lt;&gt;"")*($N95&gt;TODAY()-9)*($N95&lt;TODAY()+1),"Semaine passée",IF(($P95&lt;&gt;"")*($P95&gt;=TODAY())*($P95&lt;=TODAY()+13),"À venir","Autre"))))</f>
        <v/>
      </c>
      <c r="V95" cm="1" t="n">
        <f t="array" ref="V95">IF(C95&lt;&gt;"",1,0)</f>
        <v>0</v>
      </c>
    </row>
    <row r="96" ht="78.75" customHeight="1">
      <c r="A96" s="9">
</c>
      <c r="B96" s="9">
</c>
      <c r="C96" s="10">
</c>
      <c r="D96" s="10">
</c>
      <c r="E96" s="9">
</c>
      <c r="F96" s="12">
</c>
      <c r="G96" s="11" cm="1" t="str">
        <f t="array" ref="G96">IF(F96="","",SUBSTITUTE(SUBSTITUTE(SUBSTITUTE(SUBSTITUTE(F96,"&lt;li&gt;",CHAR(10)),"&lt;/li&gt;",""),"&lt;br&gt;",CHAR(10)),"&lt;strong&gt;",""))</f>
        <v/>
      </c>
      <c r="H96" s="11" cm="1" t="str">
        <f t="array" ref="H96">IF(G96="","",SUBSTITUTE(SUBSTITUTE(SUBSTITUTE(SUBSTITUTE(SUBSTITUTE(G96,"&lt;p&gt;",""),"&lt;/p&gt;",""),"&lt;ul&gt;",""),"&lt;/ul&gt;",""),"&lt;/strong&gt;",""))</f>
        <v/>
      </c>
      <c r="I96" s="11" cm="1" t="str">
        <f t="array" ref="I96">IF(C96="","",IF(OR(H96="",H96=0,H96=FALSE),"-",H96))</f>
        <v/>
      </c>
      <c r="J96" s="12">
</c>
      <c r="K96" s="9">
</c>
      <c r="L96" s="9" cm="1" t="str">
        <f t="array" ref="L96">IF(C96="","",IF(K96="Mort / Plus rien à faire","KO","OK"))</f>
        <v/>
      </c>
      <c r="M96" s="13">
</c>
      <c r="N96" s="13" cm="1" t="str">
        <f t="array" ref="N96">IF(OR(C96="",M96="",M96=0),"",M96)</f>
        <v/>
      </c>
      <c r="O96" s="13">
</c>
      <c r="P96" s="13" cm="1" t="str">
        <f t="array" ref="P96">IF(C96="","",IF(OR(O96="",O96=0),"-",O96))</f>
        <v/>
      </c>
      <c r="Q96" s="14">
</c>
      <c r="R96" s="9" cm="1" t="str">
        <f t="array" ref="R96">IF(C96="","",ROUND(Q96/1000000,3)&amp;" M€")</f>
        <v/>
      </c>
      <c r="S96" s="15">
</c>
      <c r="T96" s="9" cm="1" t="str">
        <f t="array" ref="T96">IF(C96="","",SUBSTITUTE(S96,"","")&amp;"%")</f>
        <v/>
      </c>
      <c r="U96" s="11" cm="1" t="str">
        <f t="array" ref="U96">IF(($N96="")*($P96=""),"",IF(($N96&lt;&gt;"")*($N96&gt;TODAY()-9)*($N96&lt;TODAY()+1)*($P96&lt;&gt;"")*($P96&gt;=TODAY())*($P96&lt;=TODAY()+13),"Semaine passée &amp; à venir",IF(($N96&lt;&gt;"")*($N96&gt;TODAY()-9)*($N96&lt;TODAY()+1),"Semaine passée",IF(($P96&lt;&gt;"")*($P96&gt;=TODAY())*($P96&lt;=TODAY()+13),"À venir","Autre"))))</f>
        <v/>
      </c>
      <c r="V96" cm="1" t="n">
        <f t="array" ref="V96">IF(C96&lt;&gt;"",1,0)</f>
        <v>0</v>
      </c>
    </row>
    <row r="97" ht="78.75" customHeight="1">
      <c r="A97" s="9">
</c>
      <c r="B97" s="9">
</c>
      <c r="C97" s="10">
</c>
      <c r="D97" s="10">
</c>
      <c r="E97" s="9">
</c>
      <c r="F97" s="12">
</c>
      <c r="G97" s="11" cm="1" t="str">
        <f t="array" ref="G97">IF(F97="","",SUBSTITUTE(SUBSTITUTE(SUBSTITUTE(SUBSTITUTE(F97,"&lt;li&gt;",CHAR(10)),"&lt;/li&gt;",""),"&lt;br&gt;",CHAR(10)),"&lt;strong&gt;",""))</f>
        <v/>
      </c>
      <c r="H97" s="11" cm="1" t="str">
        <f t="array" ref="H97">IF(G97="","",SUBSTITUTE(SUBSTITUTE(SUBSTITUTE(SUBSTITUTE(SUBSTITUTE(G97,"&lt;p&gt;",""),"&lt;/p&gt;",""),"&lt;ul&gt;",""),"&lt;/ul&gt;",""),"&lt;/strong&gt;",""))</f>
        <v/>
      </c>
      <c r="I97" s="11" cm="1" t="str">
        <f t="array" ref="I97">IF(C97="","",IF(OR(H97="",H97=0,H97=FALSE),"-",H97))</f>
        <v/>
      </c>
      <c r="J97" s="12">
</c>
      <c r="K97" s="9">
</c>
      <c r="L97" s="9" cm="1" t="str">
        <f t="array" ref="L97">IF(C97="","",IF(K97="Mort / Plus rien à faire","KO","OK"))</f>
        <v/>
      </c>
      <c r="M97" s="13">
</c>
      <c r="N97" s="13" cm="1" t="str">
        <f t="array" ref="N97">IF(OR(C97="",M97="",M97=0),"",M97)</f>
        <v/>
      </c>
      <c r="O97" s="13">
</c>
      <c r="P97" s="13" cm="1" t="str">
        <f t="array" ref="P97">IF(C97="","",IF(OR(O97="",O97=0),"-",O97))</f>
        <v/>
      </c>
      <c r="Q97" s="14">
</c>
      <c r="R97" s="9" cm="1" t="str">
        <f t="array" ref="R97">IF(C97="","",ROUND(Q97/1000000,3)&amp;" M€")</f>
        <v/>
      </c>
      <c r="S97" s="15">
</c>
      <c r="T97" s="9" cm="1" t="str">
        <f t="array" ref="T97">IF(C97="","",SUBSTITUTE(S97,"","")&amp;"%")</f>
        <v/>
      </c>
      <c r="U97" s="11" cm="1" t="str">
        <f t="array" ref="U97">IF(($N97="")*($P97=""),"",IF(($N97&lt;&gt;"")*($N97&gt;TODAY()-9)*($N97&lt;TODAY()+1)*($P97&lt;&gt;"")*($P97&gt;=TODAY())*($P97&lt;=TODAY()+13),"Semaine passée &amp; à venir",IF(($N97&lt;&gt;"")*($N97&gt;TODAY()-9)*($N97&lt;TODAY()+1),"Semaine passée",IF(($P97&lt;&gt;"")*($P97&gt;=TODAY())*($P97&lt;=TODAY()+13),"À venir","Autre"))))</f>
        <v/>
      </c>
      <c r="V97" cm="1" t="n">
        <f t="array" ref="V97">IF(C97&lt;&gt;"",1,0)</f>
        <v>0</v>
      </c>
    </row>
    <row r="98" ht="78.75" customHeight="1">
      <c r="A98" s="9">
</c>
      <c r="B98" s="9">
</c>
      <c r="C98" s="10">
</c>
      <c r="D98" s="10">
</c>
      <c r="E98" s="9">
</c>
      <c r="F98" s="12">
</c>
      <c r="G98" s="11" cm="1" t="str">
        <f t="array" ref="G98">IF(F98="","",SUBSTITUTE(SUBSTITUTE(SUBSTITUTE(SUBSTITUTE(F98,"&lt;li&gt;",CHAR(10)),"&lt;/li&gt;",""),"&lt;br&gt;",CHAR(10)),"&lt;strong&gt;",""))</f>
        <v/>
      </c>
      <c r="H98" s="11" cm="1" t="str">
        <f t="array" ref="H98">IF(G98="","",SUBSTITUTE(SUBSTITUTE(SUBSTITUTE(SUBSTITUTE(SUBSTITUTE(G98,"&lt;p&gt;",""),"&lt;/p&gt;",""),"&lt;ul&gt;",""),"&lt;/ul&gt;",""),"&lt;/strong&gt;",""))</f>
        <v/>
      </c>
      <c r="I98" s="11" cm="1" t="str">
        <f t="array" ref="I98">IF(C98="","",IF(OR(H98="",H98=0,H98=FALSE),"-",H98))</f>
        <v/>
      </c>
      <c r="J98" s="12">
</c>
      <c r="K98" s="9">
</c>
      <c r="L98" s="9" cm="1" t="str">
        <f t="array" ref="L98">IF(C98="","",IF(K98="Mort / Plus rien à faire","KO","OK"))</f>
        <v/>
      </c>
      <c r="M98" s="13">
</c>
      <c r="N98" s="13" cm="1" t="str">
        <f t="array" ref="N98">IF(OR(C98="",M98="",M98=0),"",M98)</f>
        <v/>
      </c>
      <c r="O98" s="13">
</c>
      <c r="P98" s="13" cm="1" t="str">
        <f t="array" ref="P98">IF(C98="","",IF(OR(O98="",O98=0),"-",O98))</f>
        <v/>
      </c>
      <c r="Q98" s="14">
</c>
      <c r="R98" s="9" cm="1" t="str">
        <f t="array" ref="R98">IF(C98="","",ROUND(Q98/1000000,3)&amp;" M€")</f>
        <v/>
      </c>
      <c r="S98" s="15">
</c>
      <c r="T98" s="9" cm="1" t="str">
        <f t="array" ref="T98">IF(C98="","",SUBSTITUTE(S98,"","")&amp;"%")</f>
        <v/>
      </c>
      <c r="U98" s="11" cm="1" t="str">
        <f t="array" ref="U98">IF(($N98="")*($P98=""),"",IF(($N98&lt;&gt;"")*($N98&gt;TODAY()-9)*($N98&lt;TODAY()+1)*($P98&lt;&gt;"")*($P98&gt;=TODAY())*($P98&lt;=TODAY()+13),"Semaine passée &amp; à venir",IF(($N98&lt;&gt;"")*($N98&gt;TODAY()-9)*($N98&lt;TODAY()+1),"Semaine passée",IF(($P98&lt;&gt;"")*($P98&gt;=TODAY())*($P98&lt;=TODAY()+13),"À venir","Autre"))))</f>
        <v/>
      </c>
      <c r="V98" cm="1" t="n">
        <f t="array" ref="V98">IF(C98&lt;&gt;"",1,0)</f>
        <v>0</v>
      </c>
    </row>
    <row r="99" ht="78.75" customHeight="1">
      <c r="A99" s="9">
</c>
      <c r="B99" s="9">
</c>
      <c r="C99" s="10">
</c>
      <c r="D99" s="10">
</c>
      <c r="E99" s="9">
</c>
      <c r="F99" s="12">
</c>
      <c r="G99" s="11" cm="1" t="str">
        <f t="array" ref="G99">IF(F99="","",SUBSTITUTE(SUBSTITUTE(SUBSTITUTE(SUBSTITUTE(F99,"&lt;li&gt;",CHAR(10)),"&lt;/li&gt;",""),"&lt;br&gt;",CHAR(10)),"&lt;strong&gt;",""))</f>
        <v/>
      </c>
      <c r="H99" s="11" cm="1" t="str">
        <f t="array" ref="H99">IF(G99="","",SUBSTITUTE(SUBSTITUTE(SUBSTITUTE(SUBSTITUTE(SUBSTITUTE(G99,"&lt;p&gt;",""),"&lt;/p&gt;",""),"&lt;ul&gt;",""),"&lt;/ul&gt;",""),"&lt;/strong&gt;",""))</f>
        <v/>
      </c>
      <c r="I99" s="11" cm="1" t="str">
        <f t="array" ref="I99">IF(C99="","",IF(OR(H99="",H99=0,H99=FALSE),"-",H99))</f>
        <v/>
      </c>
      <c r="J99" s="12">
</c>
      <c r="K99" s="9">
</c>
      <c r="L99" s="9" cm="1" t="str">
        <f t="array" ref="L99">IF(C99="","",IF(K99="Mort / Plus rien à faire","KO","OK"))</f>
        <v/>
      </c>
      <c r="M99" s="13">
</c>
      <c r="N99" s="13" cm="1" t="str">
        <f t="array" ref="N99">IF(OR(C99="",M99="",M99=0),"",M99)</f>
        <v/>
      </c>
      <c r="O99" s="13">
</c>
      <c r="P99" s="13" cm="1" t="str">
        <f t="array" ref="P99">IF(C99="","",IF(OR(O99="",O99=0),"-",O99))</f>
        <v/>
      </c>
      <c r="Q99" s="14">
</c>
      <c r="R99" s="9" cm="1" t="str">
        <f t="array" ref="R99">IF(C99="","",ROUND(Q99/1000000,3)&amp;" M€")</f>
        <v/>
      </c>
      <c r="S99" s="15">
</c>
      <c r="T99" s="9" cm="1" t="str">
        <f t="array" ref="T99">IF(C99="","",SUBSTITUTE(S99,"","")&amp;"%")</f>
        <v/>
      </c>
      <c r="U99" s="11" cm="1" t="str">
        <f t="array" ref="U99">IF(($N99="")*($P99=""),"",IF(($N99&lt;&gt;"")*($N99&gt;TODAY()-9)*($N99&lt;TODAY()+1)*($P99&lt;&gt;"")*($P99&gt;=TODAY())*($P99&lt;=TODAY()+13),"Semaine passée &amp; à venir",IF(($N99&lt;&gt;"")*($N99&gt;TODAY()-9)*($N99&lt;TODAY()+1),"Semaine passée",IF(($P99&lt;&gt;"")*($P99&gt;=TODAY())*($P99&lt;=TODAY()+13),"À venir","Autre"))))</f>
        <v/>
      </c>
      <c r="V99" cm="1" t="n">
        <f t="array" ref="V99">IF(C99&lt;&gt;"",1,0)</f>
        <v>0</v>
      </c>
    </row>
    <row r="100" ht="78.75" customHeight="1">
      <c r="A100" s="9">
</c>
      <c r="B100" s="9">
</c>
      <c r="C100" s="10">
</c>
      <c r="D100" s="10">
</c>
      <c r="E100" s="9">
</c>
      <c r="F100" s="12">
</c>
      <c r="G100" s="11" cm="1" t="str">
        <f t="array" ref="G100">IF(F100="","",SUBSTITUTE(SUBSTITUTE(SUBSTITUTE(SUBSTITUTE(F100,"&lt;li&gt;",CHAR(10)),"&lt;/li&gt;",""),"&lt;br&gt;",CHAR(10)),"&lt;strong&gt;",""))</f>
        <v/>
      </c>
      <c r="H100" s="11" cm="1" t="str">
        <f t="array" ref="H100">IF(G100="","",SUBSTITUTE(SUBSTITUTE(SUBSTITUTE(SUBSTITUTE(SUBSTITUTE(G100,"&lt;p&gt;",""),"&lt;/p&gt;",""),"&lt;ul&gt;",""),"&lt;/ul&gt;",""),"&lt;/strong&gt;",""))</f>
        <v/>
      </c>
      <c r="I100" s="11" cm="1" t="str">
        <f t="array" ref="I100">IF(C100="","",IF(OR(H100="",H100=0,H100=FALSE),"-",H100))</f>
        <v/>
      </c>
      <c r="J100" s="12">
</c>
      <c r="K100" s="9">
</c>
      <c r="L100" s="9" cm="1" t="str">
        <f t="array" ref="L100">IF(C100="","",IF(K100="Mort / Plus rien à faire","KO","OK"))</f>
        <v/>
      </c>
      <c r="M100" s="13">
</c>
      <c r="N100" s="13" cm="1" t="str">
        <f t="array" ref="N100">IF(OR(C100="",M100="",M100=0),"",M100)</f>
        <v/>
      </c>
      <c r="O100" s="13">
</c>
      <c r="P100" s="13" cm="1" t="str">
        <f t="array" ref="P100">IF(C100="","",IF(OR(O100="",O100=0),"-",O100))</f>
        <v/>
      </c>
      <c r="Q100" s="14">
</c>
      <c r="R100" s="9" cm="1" t="str">
        <f t="array" ref="R100">IF(C100="","",ROUND(Q100/1000000,3)&amp;" M€")</f>
        <v/>
      </c>
      <c r="S100" s="15">
</c>
      <c r="T100" s="9" cm="1" t="str">
        <f t="array" ref="T100">IF(C100="","",SUBSTITUTE(S100,"","")&amp;"%")</f>
        <v/>
      </c>
      <c r="U100" s="11" cm="1" t="str">
        <f t="array" ref="U100">IF(($N100="")*($P100=""),"",IF(($N100&lt;&gt;"")*($N100&gt;TODAY()-9)*($N100&lt;TODAY()+1)*($P100&lt;&gt;"")*($P100&gt;=TODAY())*($P100&lt;=TODAY()+13),"Semaine passée &amp; à venir",IF(($N100&lt;&gt;"")*($N100&gt;TODAY()-9)*($N100&lt;TODAY()+1),"Semaine passée",IF(($P100&lt;&gt;"")*($P100&gt;=TODAY())*($P100&lt;=TODAY()+13),"À venir","Autre"))))</f>
        <v/>
      </c>
      <c r="V100" cm="1" t="n">
        <f t="array" ref="V100">IF(C100&lt;&gt;"",1,0)</f>
        <v>0</v>
      </c>
    </row>
    <row r="101" ht="78.75" customHeight="1">
      <c r="A101" s="9">
</c>
      <c r="B101" s="9">
</c>
      <c r="C101" s="10">
</c>
      <c r="D101" s="10">
</c>
      <c r="E101" s="9">
</c>
      <c r="F101" s="12">
</c>
      <c r="G101" s="11" cm="1" t="str">
        <f t="array" ref="G101">IF(F101="","",SUBSTITUTE(SUBSTITUTE(SUBSTITUTE(SUBSTITUTE(F101,"&lt;li&gt;",CHAR(10)),"&lt;/li&gt;",""),"&lt;br&gt;",CHAR(10)),"&lt;strong&gt;",""))</f>
        <v/>
      </c>
      <c r="H101" s="11" cm="1" t="str">
        <f t="array" ref="H101">IF(G101="","",SUBSTITUTE(SUBSTITUTE(SUBSTITUTE(SUBSTITUTE(SUBSTITUTE(G101,"&lt;p&gt;",""),"&lt;/p&gt;",""),"&lt;ul&gt;",""),"&lt;/ul&gt;",""),"&lt;/strong&gt;",""))</f>
        <v/>
      </c>
      <c r="I101" s="11" cm="1" t="str">
        <f t="array" ref="I101">IF(C101="","",IF(OR(H101="",H101=0,H101=FALSE),"-",H101))</f>
        <v/>
      </c>
      <c r="J101" s="12">
</c>
      <c r="K101" s="9">
</c>
      <c r="L101" s="9" cm="1" t="str">
        <f t="array" ref="L101">IF(C101="","",IF(K101="Mort / Plus rien à faire","KO","OK"))</f>
        <v/>
      </c>
      <c r="M101" s="13">
</c>
      <c r="N101" s="13" cm="1" t="str">
        <f t="array" ref="N101">IF(OR(C101="",M101="",M101=0),"",M101)</f>
        <v/>
      </c>
      <c r="O101" s="13">
</c>
      <c r="P101" s="13" cm="1" t="str">
        <f t="array" ref="P101">IF(C101="","",IF(OR(O101="",O101=0),"-",O101))</f>
        <v/>
      </c>
      <c r="Q101" s="14">
</c>
      <c r="R101" s="9" cm="1" t="str">
        <f t="array" ref="R101">IF(C101="","",ROUND(Q101/1000000,3)&amp;" M€")</f>
        <v/>
      </c>
      <c r="S101" s="15">
</c>
      <c r="T101" s="9" cm="1" t="str">
        <f t="array" ref="T101">IF(C101="","",SUBSTITUTE(S101,"","")&amp;"%")</f>
        <v/>
      </c>
      <c r="U101" s="11" cm="1" t="str">
        <f t="array" ref="U101">IF(($N101="")*($P101=""),"",IF(($N101&lt;&gt;"")*($N101&gt;TODAY()-9)*($N101&lt;TODAY()+1)*($P101&lt;&gt;"")*($P101&gt;=TODAY())*($P101&lt;=TODAY()+13),"Semaine passée &amp; à venir",IF(($N101&lt;&gt;"")*($N101&gt;TODAY()-9)*($N101&lt;TODAY()+1),"Semaine passée",IF(($P101&lt;&gt;"")*($P101&gt;=TODAY())*($P101&lt;=TODAY()+13),"À venir","Autre"))))</f>
        <v/>
      </c>
      <c r="V101" cm="1" t="n">
        <f t="array" ref="V101">IF(C101&lt;&gt;"",1,0)</f>
        <v>0</v>
      </c>
    </row>
    <row r="102" ht="78.75" customHeight="1">
      <c r="A102" s="9">
</c>
      <c r="B102" s="9">
</c>
      <c r="C102" s="10">
</c>
      <c r="D102" s="10">
</c>
      <c r="E102" s="9">
</c>
      <c r="F102" s="12">
</c>
      <c r="G102" s="11" cm="1" t="str">
        <f t="array" ref="G102">IF(F102="","",SUBSTITUTE(SUBSTITUTE(SUBSTITUTE(SUBSTITUTE(F102,"&lt;li&gt;",CHAR(10)),"&lt;/li&gt;",""),"&lt;br&gt;",CHAR(10)),"&lt;strong&gt;",""))</f>
        <v/>
      </c>
      <c r="H102" s="11" cm="1" t="str">
        <f t="array" ref="H102">IF(G102="","",SUBSTITUTE(SUBSTITUTE(SUBSTITUTE(SUBSTITUTE(SUBSTITUTE(G102,"&lt;p&gt;",""),"&lt;/p&gt;",""),"&lt;ul&gt;",""),"&lt;/ul&gt;",""),"&lt;/strong&gt;",""))</f>
        <v/>
      </c>
      <c r="I102" s="11" cm="1" t="str">
        <f t="array" ref="I102">IF(C102="","",IF(OR(H102="",H102=0,H102=FALSE),"-",H102))</f>
        <v/>
      </c>
      <c r="J102" s="12">
</c>
      <c r="K102" s="9">
</c>
      <c r="L102" s="9" cm="1" t="str">
        <f t="array" ref="L102">IF(C102="","",IF(K102="Mort / Plus rien à faire","KO","OK"))</f>
        <v/>
      </c>
      <c r="M102" s="13">
</c>
      <c r="N102" s="13" cm="1" t="str">
        <f t="array" ref="N102">IF(OR(C102="",M102="",M102=0),"",M102)</f>
        <v/>
      </c>
      <c r="O102" s="13">
</c>
      <c r="P102" s="13" cm="1" t="str">
        <f t="array" ref="P102">IF(C102="","",IF(OR(O102="",O102=0),"-",O102))</f>
        <v/>
      </c>
      <c r="Q102" s="14">
</c>
      <c r="R102" s="9" cm="1" t="str">
        <f t="array" ref="R102">IF(C102="","",ROUND(Q102/1000000,3)&amp;" M€")</f>
        <v/>
      </c>
      <c r="S102" s="15">
</c>
      <c r="T102" s="9" cm="1" t="str">
        <f t="array" ref="T102">IF(C102="","",SUBSTITUTE(S102,"","")&amp;"%")</f>
        <v/>
      </c>
      <c r="U102" s="11" cm="1" t="str">
        <f t="array" ref="U102">IF(($N102="")*($P102=""),"",IF(($N102&lt;&gt;"")*($N102&gt;TODAY()-9)*($N102&lt;TODAY()+1)*($P102&lt;&gt;"")*($P102&gt;=TODAY())*($P102&lt;=TODAY()+13),"Semaine passée &amp; à venir",IF(($N102&lt;&gt;"")*($N102&gt;TODAY()-9)*($N102&lt;TODAY()+1),"Semaine passée",IF(($P102&lt;&gt;"")*($P102&gt;=TODAY())*($P102&lt;=TODAY()+13),"À venir","Autre"))))</f>
        <v/>
      </c>
      <c r="V102" cm="1" t="n">
        <f t="array" ref="V102">IF(C102&lt;&gt;"",1,0)</f>
        <v>0</v>
      </c>
    </row>
    <row r="103" ht="78.75" customHeight="1">
      <c r="A103" s="16">
</c>
      <c r="B103" s="12">
</c>
      <c r="C103" s="10">
</c>
      <c r="D103" s="17">
</c>
      <c r="E103" s="12">
</c>
      <c r="F103" s="12">
</c>
      <c r="G103" s="11" cm="1" t="str">
        <f t="array" ref="G103">IF(F103="","",SUBSTITUTE(SUBSTITUTE(SUBSTITUTE(SUBSTITUTE(F103,"&lt;li&gt;",CHAR(10)),"&lt;/li&gt;",""),"&lt;br&gt;",CHAR(10)),"&lt;strong&gt;",""))</f>
        <v/>
      </c>
      <c r="H103" s="11" cm="1" t="str">
        <f t="array" ref="H103">IF(G103="","",SUBSTITUTE(SUBSTITUTE(SUBSTITUTE(SUBSTITUTE(SUBSTITUTE(G103,"&lt;p&gt;",""),"&lt;/p&gt;",""),"&lt;ul&gt;",""),"&lt;/ul&gt;",""),"&lt;/strong&gt;",""))</f>
        <v/>
      </c>
      <c r="I103" s="11" cm="1" t="str">
        <f t="array" ref="I103">IF(C103="","",IF(OR(H103="",H103=0,H103=FALSE),"-",H103))</f>
        <v/>
      </c>
      <c r="J103" s="12">
</c>
      <c r="K103" s="12">
</c>
      <c r="L103" s="9" cm="1" t="str">
        <f t="array" ref="L103">IF(C103="","",IF(K103="Mort / Plus rien à faire","KO","OK"))</f>
        <v/>
      </c>
      <c r="M103" s="18">
</c>
      <c r="N103" s="13" cm="1" t="str">
        <f t="array" ref="N103">IF(OR(C103="",M103="",M103=0),"",M103)</f>
        <v/>
      </c>
      <c r="O103" s="18">
</c>
      <c r="P103" s="13" cm="1" t="str">
        <f t="array" ref="P103">IF(C103="","",IF(OR(O103="",O103=0),"-",O103))</f>
        <v/>
      </c>
      <c r="Q103" s="19">
</c>
      <c r="R103" s="9" cm="1" t="str">
        <f t="array" ref="R103">IF(C103="","",ROUND(Q103/1000000,3)&amp;" M€")</f>
        <v/>
      </c>
      <c r="S103" s="20">
</c>
      <c r="T103" s="9" cm="1" t="str">
        <f t="array" ref="T103">IF(C103="","",SUBSTITUTE(S103,"","")&amp;"%")</f>
        <v/>
      </c>
      <c r="U103" s="11" cm="1" t="str">
        <f t="array" ref="U103">IF(($N103="")*($P103=""),"",IF(($N103&lt;&gt;"")*($N103&gt;TODAY()-9)*($N103&lt;TODAY()+1)*($P103&lt;&gt;"")*($P103&gt;=TODAY())*($P103&lt;=TODAY()+13),"Semaine passée &amp; à venir",IF(($N103&lt;&gt;"")*($N103&gt;TODAY()-9)*($N103&lt;TODAY()+1),"Semaine passée",IF(($P103&lt;&gt;"")*($P103&gt;=TODAY())*($P103&lt;=TODAY()+13),"À venir","Autre"))))</f>
        <v/>
      </c>
      <c r="V103" cm="1" t="n">
        <f t="array" ref="V103">IF(C103&lt;&gt;"",1,0)</f>
        <v>0</v>
      </c>
    </row>
    <row r="104" ht="78.75" customHeight="1">
      <c r="A104" s="16">
</c>
      <c r="B104" s="12">
</c>
      <c r="C104" s="10">
</c>
      <c r="D104" s="17">
</c>
      <c r="E104" s="12">
</c>
      <c r="F104" s="12">
</c>
      <c r="G104" s="11" cm="1" t="str">
        <f t="array" ref="G104">IF(F104="","",SUBSTITUTE(SUBSTITUTE(SUBSTITUTE(SUBSTITUTE(F104,"&lt;li&gt;",CHAR(10)),"&lt;/li&gt;",""),"&lt;br&gt;",CHAR(10)),"&lt;strong&gt;",""))</f>
        <v/>
      </c>
      <c r="H104" s="11" cm="1" t="str">
        <f t="array" ref="H104">IF(G104="","",SUBSTITUTE(SUBSTITUTE(SUBSTITUTE(SUBSTITUTE(SUBSTITUTE(G104,"&lt;p&gt;",""),"&lt;/p&gt;",""),"&lt;ul&gt;",""),"&lt;/ul&gt;",""),"&lt;/strong&gt;",""))</f>
        <v/>
      </c>
      <c r="I104" s="11" cm="1" t="str">
        <f t="array" ref="I104">IF(C104="","",IF(OR(H104="",H104=0,H104=FALSE),"-",H104))</f>
        <v/>
      </c>
      <c r="J104" s="12">
</c>
      <c r="K104" s="12">
</c>
      <c r="L104" s="9" cm="1" t="str">
        <f t="array" ref="L104">IF(C104="","",IF(K104="Mort / Plus rien à faire","KO","OK"))</f>
        <v/>
      </c>
      <c r="M104" s="18">
</c>
      <c r="N104" s="13" cm="1" t="str">
        <f t="array" ref="N104">IF(OR(C104="",M104="",M104=0),"",M104)</f>
        <v/>
      </c>
      <c r="O104" s="18">
</c>
      <c r="P104" s="13" cm="1" t="str">
        <f t="array" ref="P104">IF(C104="","",IF(OR(O104="",O104=0),"-",O104))</f>
        <v/>
      </c>
      <c r="Q104" s="19">
</c>
      <c r="R104" s="9" cm="1" t="str">
        <f t="array" ref="R104">IF(C104="","",ROUND(Q104/1000000,3)&amp;" M€")</f>
        <v/>
      </c>
      <c r="S104" s="20">
</c>
      <c r="T104" s="9" cm="1" t="str">
        <f t="array" ref="T104">IF(C104="","",SUBSTITUTE(S104,"","")&amp;"%")</f>
        <v/>
      </c>
      <c r="U104" s="11" cm="1" t="str">
        <f t="array" ref="U104">IF(($N104="")*($P104=""),"",IF(($N104&lt;&gt;"")*($N104&gt;TODAY()-9)*($N104&lt;TODAY()+1)*($P104&lt;&gt;"")*($P104&gt;=TODAY())*($P104&lt;=TODAY()+13),"Semaine passée &amp; à venir",IF(($N104&lt;&gt;"")*($N104&gt;TODAY()-9)*($N104&lt;TODAY()+1),"Semaine passée",IF(($P104&lt;&gt;"")*($P104&gt;=TODAY())*($P104&lt;=TODAY()+13),"À venir","Autre"))))</f>
        <v/>
      </c>
      <c r="V104" cm="1" t="n">
        <f t="array" ref="V104">IF(C104&lt;&gt;"",1,0)</f>
        <v>0</v>
      </c>
    </row>
    <row r="105" ht="78.75" customHeight="1">
      <c r="A105" s="16">
</c>
      <c r="B105" s="12">
</c>
      <c r="C105" s="10">
</c>
      <c r="D105" s="17">
</c>
      <c r="E105" s="12">
</c>
      <c r="F105" s="12">
</c>
      <c r="G105" s="11" cm="1" t="str">
        <f t="array" ref="G105">IF(F105="","",SUBSTITUTE(SUBSTITUTE(SUBSTITUTE(SUBSTITUTE(F105,"&lt;li&gt;",CHAR(10)),"&lt;/li&gt;",""),"&lt;br&gt;",CHAR(10)),"&lt;strong&gt;",""))</f>
        <v/>
      </c>
      <c r="H105" s="11" cm="1" t="str">
        <f t="array" ref="H105">IF(G105="","",SUBSTITUTE(SUBSTITUTE(SUBSTITUTE(SUBSTITUTE(SUBSTITUTE(G105,"&lt;p&gt;",""),"&lt;/p&gt;",""),"&lt;ul&gt;",""),"&lt;/ul&gt;",""),"&lt;/strong&gt;",""))</f>
        <v/>
      </c>
      <c r="I105" s="11" cm="1" t="str">
        <f t="array" ref="I105">IF(C105="","",IF(OR(H105="",H105=0,H105=FALSE),"-",H105))</f>
        <v/>
      </c>
      <c r="J105" s="12">
</c>
      <c r="K105" s="12">
</c>
      <c r="L105" s="9" cm="1" t="str">
        <f t="array" ref="L105">IF(C105="","",IF(K105="Mort / Plus rien à faire","KO","OK"))</f>
        <v/>
      </c>
      <c r="M105" s="18">
</c>
      <c r="N105" s="13" cm="1" t="str">
        <f t="array" ref="N105">IF(OR(C105="",M105="",M105=0),"",M105)</f>
        <v/>
      </c>
      <c r="O105" s="18">
</c>
      <c r="P105" s="13" cm="1" t="str">
        <f t="array" ref="P105">IF(C105="","",IF(OR(O105="",O105=0),"-",O105))</f>
        <v/>
      </c>
      <c r="Q105" s="19">
</c>
      <c r="R105" s="9" cm="1" t="str">
        <f t="array" ref="R105">IF(C105="","",ROUND(Q105/1000000,3)&amp;" M€")</f>
        <v/>
      </c>
      <c r="S105" s="20">
</c>
      <c r="T105" s="9" cm="1" t="str">
        <f t="array" ref="T105">IF(C105="","",SUBSTITUTE(S105,"","")&amp;"%")</f>
        <v/>
      </c>
      <c r="U105" s="11" cm="1" t="str">
        <f t="array" ref="U105">IF(($N105="")*($P105=""),"",IF(($N105&lt;&gt;"")*($N105&gt;TODAY()-9)*($N105&lt;TODAY()+1)*($P105&lt;&gt;"")*($P105&gt;=TODAY())*($P105&lt;=TODAY()+13),"Semaine passée &amp; à venir",IF(($N105&lt;&gt;"")*($N105&gt;TODAY()-9)*($N105&lt;TODAY()+1),"Semaine passée",IF(($P105&lt;&gt;"")*($P105&gt;=TODAY())*($P105&lt;=TODAY()+13),"À venir","Autre"))))</f>
        <v/>
      </c>
      <c r="V105" cm="1" t="n">
        <f t="array" ref="V105">IF(C105&lt;&gt;"",1,0)</f>
        <v>0</v>
      </c>
    </row>
    <row r="106" ht="78.75" customHeight="1">
      <c r="A106" s="16">
</c>
      <c r="B106" s="12">
</c>
      <c r="C106" s="10">
</c>
      <c r="D106" s="17">
</c>
      <c r="E106" s="12">
</c>
      <c r="F106" s="12">
</c>
      <c r="G106" s="11" cm="1" t="str">
        <f t="array" ref="G106">IF(F106="","",SUBSTITUTE(SUBSTITUTE(SUBSTITUTE(SUBSTITUTE(F106,"&lt;li&gt;",CHAR(10)),"&lt;/li&gt;",""),"&lt;br&gt;",CHAR(10)),"&lt;strong&gt;",""))</f>
        <v/>
      </c>
      <c r="H106" s="11" cm="1" t="str">
        <f t="array" ref="H106">IF(G106="","",SUBSTITUTE(SUBSTITUTE(SUBSTITUTE(SUBSTITUTE(SUBSTITUTE(G106,"&lt;p&gt;",""),"&lt;/p&gt;",""),"&lt;ul&gt;",""),"&lt;/ul&gt;",""),"&lt;/strong&gt;",""))</f>
        <v/>
      </c>
      <c r="I106" s="11" cm="1" t="str">
        <f t="array" ref="I106">IF(C106="","",IF(OR(H106="",H106=0,H106=FALSE),"-",H106))</f>
        <v/>
      </c>
      <c r="J106" s="12">
</c>
      <c r="K106" s="12">
</c>
      <c r="L106" s="9" cm="1" t="str">
        <f t="array" ref="L106">IF(C106="","",IF(K106="Mort / Plus rien à faire","KO","OK"))</f>
        <v/>
      </c>
      <c r="M106" s="18">
</c>
      <c r="N106" s="13" cm="1" t="str">
        <f t="array" ref="N106">IF(OR(C106="",M106="",M106=0),"",M106)</f>
        <v/>
      </c>
      <c r="O106" s="18">
</c>
      <c r="P106" s="13" cm="1" t="str">
        <f t="array" ref="P106">IF(C106="","",IF(OR(O106="",O106=0),"-",O106))</f>
        <v/>
      </c>
      <c r="Q106" s="19">
</c>
      <c r="R106" s="9" cm="1" t="str">
        <f t="array" ref="R106">IF(C106="","",ROUND(Q106/1000000,3)&amp;" M€")</f>
        <v/>
      </c>
      <c r="S106" s="20">
</c>
      <c r="T106" s="9" cm="1" t="str">
        <f t="array" ref="T106">IF(C106="","",SUBSTITUTE(S106,"","")&amp;"%")</f>
        <v/>
      </c>
      <c r="U106" s="11" cm="1" t="str">
        <f t="array" ref="U106">IF(($N106="")*($P106=""),"",IF(($N106&lt;&gt;"")*($N106&gt;TODAY()-9)*($N106&lt;TODAY()+1)*($P106&lt;&gt;"")*($P106&gt;=TODAY())*($P106&lt;=TODAY()+13),"Semaine passée &amp; à venir",IF(($N106&lt;&gt;"")*($N106&gt;TODAY()-9)*($N106&lt;TODAY()+1),"Semaine passée",IF(($P106&lt;&gt;"")*($P106&gt;=TODAY())*($P106&lt;=TODAY()+13),"À venir","Autre"))))</f>
        <v/>
      </c>
      <c r="V106" cm="1" t="n">
        <f t="array" ref="V106">IF(C106&lt;&gt;"",1,0)</f>
        <v>0</v>
      </c>
    </row>
    <row r="107" ht="78.75" customHeight="1">
      <c r="A107" s="16">
</c>
      <c r="B107" s="12">
</c>
      <c r="C107" s="10">
</c>
      <c r="D107" s="17">
</c>
      <c r="E107" s="12">
</c>
      <c r="F107" s="12">
</c>
      <c r="G107" s="11" cm="1" t="str">
        <f t="array" ref="G107">IF(F107="","",SUBSTITUTE(SUBSTITUTE(SUBSTITUTE(SUBSTITUTE(F107,"&lt;li&gt;",CHAR(10)),"&lt;/li&gt;",""),"&lt;br&gt;",CHAR(10)),"&lt;strong&gt;",""))</f>
        <v/>
      </c>
      <c r="H107" s="11" cm="1" t="str">
        <f t="array" ref="H107">IF(G107="","",SUBSTITUTE(SUBSTITUTE(SUBSTITUTE(SUBSTITUTE(SUBSTITUTE(G107,"&lt;p&gt;",""),"&lt;/p&gt;",""),"&lt;ul&gt;",""),"&lt;/ul&gt;",""),"&lt;/strong&gt;",""))</f>
        <v/>
      </c>
      <c r="I107" s="11" cm="1" t="str">
        <f t="array" ref="I107">IF(C107="","",IF(OR(H107="",H107=0,H107=FALSE),"-",H107))</f>
        <v/>
      </c>
      <c r="J107" s="12">
</c>
      <c r="K107" s="12">
</c>
      <c r="L107" s="9" cm="1" t="str">
        <f t="array" ref="L107">IF(C107="","",IF(K107="Mort / Plus rien à faire","KO","OK"))</f>
        <v/>
      </c>
      <c r="M107" s="18">
</c>
      <c r="N107" s="13" cm="1" t="str">
        <f t="array" ref="N107">IF(OR(C107="",M107="",M107=0),"",M107)</f>
        <v/>
      </c>
      <c r="O107" s="18">
</c>
      <c r="P107" s="13" cm="1" t="str">
        <f t="array" ref="P107">IF(C107="","",IF(OR(O107="",O107=0),"-",O107))</f>
        <v/>
      </c>
      <c r="Q107" s="19">
</c>
      <c r="R107" s="9" cm="1" t="str">
        <f t="array" ref="R107">IF(C107="","",ROUND(Q107/1000000,3)&amp;" M€")</f>
        <v/>
      </c>
      <c r="S107" s="20">
</c>
      <c r="T107" s="9" cm="1" t="str">
        <f t="array" ref="T107">IF(C107="","",SUBSTITUTE(S107,"","")&amp;"%")</f>
        <v/>
      </c>
      <c r="U107" s="11" cm="1" t="str">
        <f t="array" ref="U107">IF(($N107="")*($P107=""),"",IF(($N107&lt;&gt;"")*($N107&gt;TODAY()-9)*($N107&lt;TODAY()+1)*($P107&lt;&gt;"")*($P107&gt;=TODAY())*($P107&lt;=TODAY()+13),"Semaine passée &amp; à venir",IF(($N107&lt;&gt;"")*($N107&gt;TODAY()-9)*($N107&lt;TODAY()+1),"Semaine passée",IF(($P107&lt;&gt;"")*($P107&gt;=TODAY())*($P107&lt;=TODAY()+13),"À venir","Autre"))))</f>
        <v/>
      </c>
      <c r="V107" cm="1" t="n">
        <f t="array" ref="V107">IF(C107&lt;&gt;"",1,0)</f>
        <v>0</v>
      </c>
    </row>
    <row r="108" ht="78.75" customHeight="1">
      <c r="A108" s="16">
</c>
      <c r="B108" s="12">
</c>
      <c r="C108" s="10">
</c>
      <c r="D108" s="17">
</c>
      <c r="E108" s="12">
</c>
      <c r="F108" s="12">
</c>
      <c r="G108" s="11" cm="1" t="str">
        <f t="array" ref="G108">IF(F108="","",SUBSTITUTE(SUBSTITUTE(SUBSTITUTE(SUBSTITUTE(F108,"&lt;li&gt;",CHAR(10)),"&lt;/li&gt;",""),"&lt;br&gt;",CHAR(10)),"&lt;strong&gt;",""))</f>
        <v/>
      </c>
      <c r="H108" s="11" cm="1" t="str">
        <f t="array" ref="H108">IF(G108="","",SUBSTITUTE(SUBSTITUTE(SUBSTITUTE(SUBSTITUTE(SUBSTITUTE(G108,"&lt;p&gt;",""),"&lt;/p&gt;",""),"&lt;ul&gt;",""),"&lt;/ul&gt;",""),"&lt;/strong&gt;",""))</f>
        <v/>
      </c>
      <c r="I108" s="11" cm="1" t="str">
        <f t="array" ref="I108">IF(C108="","",IF(OR(H108="",H108=0,H108=FALSE),"-",H108))</f>
        <v/>
      </c>
      <c r="J108" s="12">
</c>
      <c r="K108" s="12">
</c>
      <c r="L108" s="9" cm="1" t="str">
        <f t="array" ref="L108">IF(C108="","",IF(K108="Mort / Plus rien à faire","KO","OK"))</f>
        <v/>
      </c>
      <c r="M108" s="18">
</c>
      <c r="N108" s="13" cm="1" t="str">
        <f t="array" ref="N108">IF(OR(C108="",M108="",M108=0),"",M108)</f>
        <v/>
      </c>
      <c r="O108" s="18">
</c>
      <c r="P108" s="13" cm="1" t="str">
        <f t="array" ref="P108">IF(C108="","",IF(OR(O108="",O108=0),"-",O108))</f>
        <v/>
      </c>
      <c r="Q108" s="19">
</c>
      <c r="R108" s="9" cm="1" t="str">
        <f t="array" ref="R108">IF(C108="","",ROUND(Q108/1000000,3)&amp;" M€")</f>
        <v/>
      </c>
      <c r="S108" s="20">
</c>
      <c r="T108" s="9" cm="1" t="str">
        <f t="array" ref="T108">IF(C108="","",SUBSTITUTE(S108,"","")&amp;"%")</f>
        <v/>
      </c>
      <c r="U108" s="11" cm="1" t="str">
        <f t="array" ref="U108">IF(($N108="")*($P108=""),"",IF(($N108&lt;&gt;"")*($N108&gt;TODAY()-9)*($N108&lt;TODAY()+1)*($P108&lt;&gt;"")*($P108&gt;=TODAY())*($P108&lt;=TODAY()+13),"Semaine passée &amp; à venir",IF(($N108&lt;&gt;"")*($N108&gt;TODAY()-9)*($N108&lt;TODAY()+1),"Semaine passée",IF(($P108&lt;&gt;"")*($P108&gt;=TODAY())*($P108&lt;=TODAY()+13),"À venir","Autre"))))</f>
        <v/>
      </c>
      <c r="V108" cm="1" t="n">
        <f t="array" ref="V108">IF(C108&lt;&gt;"",1,0)</f>
        <v>0</v>
      </c>
    </row>
    <row r="109" ht="78.75" customHeight="1">
      <c r="A109" s="16">
</c>
      <c r="B109" s="12">
</c>
      <c r="C109" s="10">
</c>
      <c r="D109" s="17">
</c>
      <c r="E109" s="12">
</c>
      <c r="F109" s="12">
</c>
      <c r="G109" s="11" cm="1" t="str">
        <f t="array" ref="G109">IF(F109="","",SUBSTITUTE(SUBSTITUTE(SUBSTITUTE(SUBSTITUTE(F109,"&lt;li&gt;",CHAR(10)),"&lt;/li&gt;",""),"&lt;br&gt;",CHAR(10)),"&lt;strong&gt;",""))</f>
        <v/>
      </c>
      <c r="H109" s="11" cm="1" t="str">
        <f t="array" ref="H109">IF(G109="","",SUBSTITUTE(SUBSTITUTE(SUBSTITUTE(SUBSTITUTE(SUBSTITUTE(G109,"&lt;p&gt;",""),"&lt;/p&gt;",""),"&lt;ul&gt;",""),"&lt;/ul&gt;",""),"&lt;/strong&gt;",""))</f>
        <v/>
      </c>
      <c r="I109" s="11" cm="1" t="str">
        <f t="array" ref="I109">IF(C109="","",IF(OR(H109="",H109=0,H109=FALSE),"-",H109))</f>
        <v/>
      </c>
      <c r="J109" s="12">
</c>
      <c r="K109" s="12">
</c>
      <c r="L109" s="9" cm="1" t="str">
        <f t="array" ref="L109">IF(C109="","",IF(K109="Mort / Plus rien à faire","KO","OK"))</f>
        <v/>
      </c>
      <c r="M109" s="18">
</c>
      <c r="N109" s="13" cm="1" t="str">
        <f t="array" ref="N109">IF(OR(C109="",M109="",M109=0),"",M109)</f>
        <v/>
      </c>
      <c r="O109" s="18">
</c>
      <c r="P109" s="13" cm="1" t="str">
        <f t="array" ref="P109">IF(C109="","",IF(OR(O109="",O109=0),"-",O109))</f>
        <v/>
      </c>
      <c r="Q109" s="19">
</c>
      <c r="R109" s="9" cm="1" t="str">
        <f t="array" ref="R109">IF(C109="","",ROUND(Q109/1000000,3)&amp;" M€")</f>
        <v/>
      </c>
      <c r="S109" s="20">
</c>
      <c r="T109" s="9" cm="1" t="str">
        <f t="array" ref="T109">IF(C109="","",SUBSTITUTE(S109,"","")&amp;"%")</f>
        <v/>
      </c>
      <c r="U109" s="11" cm="1" t="str">
        <f t="array" ref="U109">IF(($N109="")*($P109=""),"",IF(($N109&lt;&gt;"")*($N109&gt;TODAY()-9)*($N109&lt;TODAY()+1)*($P109&lt;&gt;"")*($P109&gt;=TODAY())*($P109&lt;=TODAY()+13),"Semaine passée &amp; à venir",IF(($N109&lt;&gt;"")*($N109&gt;TODAY()-9)*($N109&lt;TODAY()+1),"Semaine passée",IF(($P109&lt;&gt;"")*($P109&gt;=TODAY())*($P109&lt;=TODAY()+13),"À venir","Autre"))))</f>
        <v/>
      </c>
      <c r="V109" cm="1" t="n">
        <f t="array" ref="V109">IF(C109&lt;&gt;"",1,0)</f>
        <v>0</v>
      </c>
    </row>
    <row r="110" ht="78.75" customHeight="1">
      <c r="A110" s="16">
</c>
      <c r="B110" s="12">
</c>
      <c r="C110" s="10">
</c>
      <c r="D110" s="17">
</c>
      <c r="E110" s="12">
</c>
      <c r="F110" s="12">
</c>
      <c r="G110" s="11" cm="1" t="str">
        <f t="array" ref="G110">IF(F110="","",SUBSTITUTE(SUBSTITUTE(SUBSTITUTE(SUBSTITUTE(F110,"&lt;li&gt;",CHAR(10)),"&lt;/li&gt;",""),"&lt;br&gt;",CHAR(10)),"&lt;strong&gt;",""))</f>
        <v/>
      </c>
      <c r="H110" s="11" cm="1" t="str">
        <f t="array" ref="H110">IF(G110="","",SUBSTITUTE(SUBSTITUTE(SUBSTITUTE(SUBSTITUTE(SUBSTITUTE(G110,"&lt;p&gt;",""),"&lt;/p&gt;",""),"&lt;ul&gt;",""),"&lt;/ul&gt;",""),"&lt;/strong&gt;",""))</f>
        <v/>
      </c>
      <c r="I110" s="11" cm="1" t="str">
        <f t="array" ref="I110">IF(C110="","",IF(OR(H110="",H110=0,H110=FALSE),"-",H110))</f>
        <v/>
      </c>
      <c r="J110" s="12">
</c>
      <c r="K110" s="12">
</c>
      <c r="L110" s="9" cm="1" t="str">
        <f t="array" ref="L110">IF(C110="","",IF(K110="Mort / Plus rien à faire","KO","OK"))</f>
        <v/>
      </c>
      <c r="M110" s="18">
</c>
      <c r="N110" s="13" cm="1" t="str">
        <f t="array" ref="N110">IF(OR(C110="",M110="",M110=0),"",M110)</f>
        <v/>
      </c>
      <c r="O110" s="18">
</c>
      <c r="P110" s="13" cm="1" t="str">
        <f t="array" ref="P110">IF(C110="","",IF(OR(O110="",O110=0),"-",O110))</f>
        <v/>
      </c>
      <c r="Q110" s="19">
</c>
      <c r="R110" s="9" cm="1" t="str">
        <f t="array" ref="R110">IF(C110="","",ROUND(Q110/1000000,3)&amp;" M€")</f>
        <v/>
      </c>
      <c r="S110" s="20">
</c>
      <c r="T110" s="9" cm="1" t="str">
        <f t="array" ref="T110">IF(C110="","",SUBSTITUTE(S110,"","")&amp;"%")</f>
        <v/>
      </c>
      <c r="U110" s="11" cm="1" t="str">
        <f t="array" ref="U110">IF(($N110="")*($P110=""),"",IF(($N110&lt;&gt;"")*($N110&gt;TODAY()-9)*($N110&lt;TODAY()+1)*($P110&lt;&gt;"")*($P110&gt;=TODAY())*($P110&lt;=TODAY()+13),"Semaine passée &amp; à venir",IF(($N110&lt;&gt;"")*($N110&gt;TODAY()-9)*($N110&lt;TODAY()+1),"Semaine passée",IF(($P110&lt;&gt;"")*($P110&gt;=TODAY())*($P110&lt;=TODAY()+13),"À venir","Autre"))))</f>
        <v/>
      </c>
      <c r="V110" cm="1" t="n">
        <f t="array" ref="V110">IF(C110&lt;&gt;"",1,0)</f>
        <v>0</v>
      </c>
    </row>
    <row r="111" ht="78.75" customHeight="1">
      <c r="A111" s="16">
</c>
      <c r="B111" s="12">
</c>
      <c r="C111" s="10">
</c>
      <c r="D111" s="17">
</c>
      <c r="E111" s="12">
</c>
      <c r="F111" s="12">
</c>
      <c r="G111" s="11" cm="1" t="str">
        <f t="array" ref="G111">IF(F111="","",SUBSTITUTE(SUBSTITUTE(SUBSTITUTE(SUBSTITUTE(F111,"&lt;li&gt;",CHAR(10)),"&lt;/li&gt;",""),"&lt;br&gt;",CHAR(10)),"&lt;strong&gt;",""))</f>
        <v/>
      </c>
      <c r="H111" s="11" cm="1" t="str">
        <f t="array" ref="H111">IF(G111="","",SUBSTITUTE(SUBSTITUTE(SUBSTITUTE(SUBSTITUTE(SUBSTITUTE(G111,"&lt;p&gt;",""),"&lt;/p&gt;",""),"&lt;ul&gt;",""),"&lt;/ul&gt;",""),"&lt;/strong&gt;",""))</f>
        <v/>
      </c>
      <c r="I111" s="11" cm="1" t="str">
        <f t="array" ref="I111">IF(C111="","",IF(OR(H111="",H111=0,H111=FALSE),"-",H111))</f>
        <v/>
      </c>
      <c r="J111" s="12">
</c>
      <c r="K111" s="12">
</c>
      <c r="L111" s="9" cm="1" t="str">
        <f t="array" ref="L111">IF(C111="","",IF(K111="Mort / Plus rien à faire","KO","OK"))</f>
        <v/>
      </c>
      <c r="M111" s="18">
</c>
      <c r="N111" s="13" cm="1" t="str">
        <f t="array" ref="N111">IF(OR(C111="",M111="",M111=0),"",M111)</f>
        <v/>
      </c>
      <c r="O111" s="18">
</c>
      <c r="P111" s="13" cm="1" t="str">
        <f t="array" ref="P111">IF(C111="","",IF(OR(O111="",O111=0),"-",O111))</f>
        <v/>
      </c>
      <c r="Q111" s="19">
</c>
      <c r="R111" s="9" cm="1" t="str">
        <f t="array" ref="R111">IF(C111="","",ROUND(Q111/1000000,3)&amp;" M€")</f>
        <v/>
      </c>
      <c r="S111" s="20">
</c>
      <c r="T111" s="9" cm="1" t="str">
        <f t="array" ref="T111">IF(C111="","",SUBSTITUTE(S111,"","")&amp;"%")</f>
        <v/>
      </c>
      <c r="U111" s="11" cm="1" t="str">
        <f t="array" ref="U111">IF(($N111="")*($P111=""),"",IF(($N111&lt;&gt;"")*($N111&gt;TODAY()-9)*($N111&lt;TODAY()+1)*($P111&lt;&gt;"")*($P111&gt;=TODAY())*($P111&lt;=TODAY()+13),"Semaine passée &amp; à venir",IF(($N111&lt;&gt;"")*($N111&gt;TODAY()-9)*($N111&lt;TODAY()+1),"Semaine passée",IF(($P111&lt;&gt;"")*($P111&gt;=TODAY())*($P111&lt;=TODAY()+13),"À venir","Autre"))))</f>
        <v/>
      </c>
      <c r="V111" cm="1" t="n">
        <f t="array" ref="V111">IF(C111&lt;&gt;"",1,0)</f>
        <v>0</v>
      </c>
    </row>
    <row r="112" ht="78.75" customHeight="1">
      <c r="A112" s="16">
</c>
      <c r="B112" s="12">
</c>
      <c r="C112" s="10">
</c>
      <c r="D112" s="17">
</c>
      <c r="E112" s="12">
</c>
      <c r="F112" s="12">
</c>
      <c r="G112" s="11" cm="1" t="str">
        <f t="array" ref="G112">IF(F112="","",SUBSTITUTE(SUBSTITUTE(SUBSTITUTE(SUBSTITUTE(F112,"&lt;li&gt;",CHAR(10)),"&lt;/li&gt;",""),"&lt;br&gt;",CHAR(10)),"&lt;strong&gt;",""))</f>
        <v/>
      </c>
      <c r="H112" s="11" cm="1" t="str">
        <f t="array" ref="H112">IF(G112="","",SUBSTITUTE(SUBSTITUTE(SUBSTITUTE(SUBSTITUTE(SUBSTITUTE(G112,"&lt;p&gt;",""),"&lt;/p&gt;",""),"&lt;ul&gt;",""),"&lt;/ul&gt;",""),"&lt;/strong&gt;",""))</f>
        <v/>
      </c>
      <c r="I112" s="11" cm="1" t="str">
        <f t="array" ref="I112">IF(C112="","",IF(OR(H112="",H112=0,H112=FALSE),"-",H112))</f>
        <v/>
      </c>
      <c r="J112" s="12">
</c>
      <c r="K112" s="12">
</c>
      <c r="L112" s="9" cm="1" t="str">
        <f t="array" ref="L112">IF(C112="","",IF(K112="Mort / Plus rien à faire","KO","OK"))</f>
        <v/>
      </c>
      <c r="M112" s="18">
</c>
      <c r="N112" s="13" cm="1" t="str">
        <f t="array" ref="N112">IF(OR(C112="",M112="",M112=0),"",M112)</f>
        <v/>
      </c>
      <c r="O112" s="18">
</c>
      <c r="P112" s="13" cm="1" t="str">
        <f t="array" ref="P112">IF(C112="","",IF(OR(O112="",O112=0),"-",O112))</f>
        <v/>
      </c>
      <c r="Q112" s="19">
</c>
      <c r="R112" s="9" cm="1" t="str">
        <f t="array" ref="R112">IF(C112="","",ROUND(Q112/1000000,3)&amp;" M€")</f>
        <v/>
      </c>
      <c r="S112" s="20">
</c>
      <c r="T112" s="9" cm="1" t="str">
        <f t="array" ref="T112">IF(C112="","",SUBSTITUTE(S112,"","")&amp;"%")</f>
        <v/>
      </c>
      <c r="U112" s="11" cm="1" t="str">
        <f t="array" ref="U112">IF(($N112="")*($P112=""),"",IF(($N112&lt;&gt;"")*($N112&gt;TODAY()-9)*($N112&lt;TODAY()+1)*($P112&lt;&gt;"")*($P112&gt;=TODAY())*($P112&lt;=TODAY()+13),"Semaine passée &amp; à venir",IF(($N112&lt;&gt;"")*($N112&gt;TODAY()-9)*($N112&lt;TODAY()+1),"Semaine passée",IF(($P112&lt;&gt;"")*($P112&gt;=TODAY())*($P112&lt;=TODAY()+13),"À venir","Autre"))))</f>
        <v/>
      </c>
      <c r="V112" cm="1" t="n">
        <f t="array" ref="V112">IF(C112&lt;&gt;"",1,0)</f>
        <v>0</v>
      </c>
    </row>
    <row r="113" ht="78.75" customHeight="1">
      <c r="A113" s="16">
</c>
      <c r="B113" s="12">
</c>
      <c r="C113" s="10">
</c>
      <c r="D113" s="17">
</c>
      <c r="E113" s="12">
</c>
      <c r="F113" s="12">
</c>
      <c r="G113" s="11" cm="1" t="str">
        <f t="array" ref="G113">IF(F113="","",SUBSTITUTE(SUBSTITUTE(SUBSTITUTE(SUBSTITUTE(F113,"&lt;li&gt;",CHAR(10)),"&lt;/li&gt;",""),"&lt;br&gt;",CHAR(10)),"&lt;strong&gt;",""))</f>
        <v/>
      </c>
      <c r="H113" s="11" cm="1" t="str">
        <f t="array" ref="H113">IF(G113="","",SUBSTITUTE(SUBSTITUTE(SUBSTITUTE(SUBSTITUTE(SUBSTITUTE(G113,"&lt;p&gt;",""),"&lt;/p&gt;",""),"&lt;ul&gt;",""),"&lt;/ul&gt;",""),"&lt;/strong&gt;",""))</f>
        <v/>
      </c>
      <c r="I113" s="11" cm="1" t="str">
        <f t="array" ref="I113">IF(C113="","",IF(OR(H113="",H113=0,H113=FALSE),"-",H113))</f>
        <v/>
      </c>
      <c r="J113" s="12">
</c>
      <c r="K113" s="12">
</c>
      <c r="L113" s="9" cm="1" t="str">
        <f t="array" ref="L113">IF(C113="","",IF(K113="Mort / Plus rien à faire","KO","OK"))</f>
        <v/>
      </c>
      <c r="M113" s="18">
</c>
      <c r="N113" s="13" cm="1" t="str">
        <f t="array" ref="N113">IF(OR(C113="",M113="",M113=0),"",M113)</f>
        <v/>
      </c>
      <c r="O113" s="18">
</c>
      <c r="P113" s="13" cm="1" t="str">
        <f t="array" ref="P113">IF(C113="","",IF(OR(O113="",O113=0),"-",O113))</f>
        <v/>
      </c>
      <c r="Q113" s="19">
</c>
      <c r="R113" s="9" cm="1" t="str">
        <f t="array" ref="R113">IF(C113="","",ROUND(Q113/1000000,3)&amp;" M€")</f>
        <v/>
      </c>
      <c r="S113" s="20">
</c>
      <c r="T113" s="9" cm="1" t="str">
        <f t="array" ref="T113">IF(C113="","",SUBSTITUTE(S113,"","")&amp;"%")</f>
        <v/>
      </c>
      <c r="U113" s="11" cm="1" t="str">
        <f t="array" ref="U113">IF(($N113="")*($P113=""),"",IF(($N113&lt;&gt;"")*($N113&gt;TODAY()-9)*($N113&lt;TODAY()+1)*($P113&lt;&gt;"")*($P113&gt;=TODAY())*($P113&lt;=TODAY()+13),"Semaine passée &amp; à venir",IF(($N113&lt;&gt;"")*($N113&gt;TODAY()-9)*($N113&lt;TODAY()+1),"Semaine passée",IF(($P113&lt;&gt;"")*($P113&gt;=TODAY())*($P113&lt;=TODAY()+13),"À venir","Autre"))))</f>
        <v/>
      </c>
      <c r="V113" cm="1" t="n">
        <f t="array" ref="V113">IF(C113&lt;&gt;"",1,0)</f>
        <v>0</v>
      </c>
    </row>
    <row r="114" ht="78.75" customHeight="1">
      <c r="A114" s="16">
</c>
      <c r="B114" s="12">
</c>
      <c r="C114" s="10">
</c>
      <c r="D114" s="17">
</c>
      <c r="E114" s="12">
</c>
      <c r="F114" s="12">
</c>
      <c r="G114" s="11" cm="1" t="str">
        <f t="array" ref="G114">IF(F114="","",SUBSTITUTE(SUBSTITUTE(SUBSTITUTE(SUBSTITUTE(F114,"&lt;li&gt;",CHAR(10)),"&lt;/li&gt;",""),"&lt;br&gt;",CHAR(10)),"&lt;strong&gt;",""))</f>
        <v/>
      </c>
      <c r="H114" s="11" cm="1" t="str">
        <f t="array" ref="H114">IF(G114="","",SUBSTITUTE(SUBSTITUTE(SUBSTITUTE(SUBSTITUTE(SUBSTITUTE(G114,"&lt;p&gt;",""),"&lt;/p&gt;",""),"&lt;ul&gt;",""),"&lt;/ul&gt;",""),"&lt;/strong&gt;",""))</f>
        <v/>
      </c>
      <c r="I114" s="11" cm="1" t="str">
        <f t="array" ref="I114">IF(C114="","",IF(OR(H114="",H114=0,H114=FALSE),"-",H114))</f>
        <v/>
      </c>
      <c r="J114" s="12">
</c>
      <c r="K114" s="12">
</c>
      <c r="L114" s="9" cm="1" t="str">
        <f t="array" ref="L114">IF(C114="","",IF(K114="Mort / Plus rien à faire","KO","OK"))</f>
        <v/>
      </c>
      <c r="M114" s="18">
</c>
      <c r="N114" s="13" cm="1" t="str">
        <f t="array" ref="N114">IF(OR(C114="",M114="",M114=0),"",M114)</f>
        <v/>
      </c>
      <c r="O114" s="18">
</c>
      <c r="P114" s="13" cm="1" t="str">
        <f t="array" ref="P114">IF(C114="","",IF(OR(O114="",O114=0),"-",O114))</f>
        <v/>
      </c>
      <c r="Q114" s="19">
</c>
      <c r="R114" s="9" cm="1" t="str">
        <f t="array" ref="R114">IF(C114="","",ROUND(Q114/1000000,3)&amp;" M€")</f>
        <v/>
      </c>
      <c r="S114" s="20">
</c>
      <c r="T114" s="9" cm="1" t="str">
        <f t="array" ref="T114">IF(C114="","",SUBSTITUTE(S114,"","")&amp;"%")</f>
        <v/>
      </c>
      <c r="U114" s="11" cm="1" t="str">
        <f t="array" ref="U114">IF(($N114="")*($P114=""),"",IF(($N114&lt;&gt;"")*($N114&gt;TODAY()-9)*($N114&lt;TODAY()+1)*($P114&lt;&gt;"")*($P114&gt;=TODAY())*($P114&lt;=TODAY()+13),"Semaine passée &amp; à venir",IF(($N114&lt;&gt;"")*($N114&gt;TODAY()-9)*($N114&lt;TODAY()+1),"Semaine passée",IF(($P114&lt;&gt;"")*($P114&gt;=TODAY())*($P114&lt;=TODAY()+13),"À venir","Autre"))))</f>
        <v/>
      </c>
      <c r="V114" cm="1" t="n">
        <f t="array" ref="V114">IF(C114&lt;&gt;"",1,0)</f>
        <v>0</v>
      </c>
    </row>
    <row r="115" ht="78.75" customHeight="1">
      <c r="A115" s="16">
</c>
      <c r="B115" s="12">
</c>
      <c r="C115" s="10">
</c>
      <c r="D115" s="17">
</c>
      <c r="E115" s="12">
</c>
      <c r="F115" s="12">
</c>
      <c r="G115" s="11" cm="1" t="str">
        <f t="array" ref="G115">IF(F115="","",SUBSTITUTE(SUBSTITUTE(SUBSTITUTE(SUBSTITUTE(F115,"&lt;li&gt;",CHAR(10)),"&lt;/li&gt;",""),"&lt;br&gt;",CHAR(10)),"&lt;strong&gt;",""))</f>
        <v/>
      </c>
      <c r="H115" s="11" cm="1" t="str">
        <f t="array" ref="H115">IF(G115="","",SUBSTITUTE(SUBSTITUTE(SUBSTITUTE(SUBSTITUTE(SUBSTITUTE(G115,"&lt;p&gt;",""),"&lt;/p&gt;",""),"&lt;ul&gt;",""),"&lt;/ul&gt;",""),"&lt;/strong&gt;",""))</f>
        <v/>
      </c>
      <c r="I115" s="11" cm="1" t="str">
        <f t="array" ref="I115">IF(C115="","",IF(OR(H115="",H115=0,H115=FALSE),"-",H115))</f>
        <v/>
      </c>
      <c r="J115" s="12">
</c>
      <c r="K115" s="12">
</c>
      <c r="L115" s="9" cm="1" t="str">
        <f t="array" ref="L115">IF(C115="","",IF(K115="Mort / Plus rien à faire","KO","OK"))</f>
        <v/>
      </c>
      <c r="M115" s="18">
</c>
      <c r="N115" s="13" cm="1" t="str">
        <f t="array" ref="N115">IF(OR(C115="",M115="",M115=0),"",M115)</f>
        <v/>
      </c>
      <c r="O115" s="18">
</c>
      <c r="P115" s="13" cm="1" t="str">
        <f t="array" ref="P115">IF(C115="","",IF(OR(O115="",O115=0),"-",O115))</f>
        <v/>
      </c>
      <c r="Q115" s="19">
</c>
      <c r="R115" s="9" cm="1" t="str">
        <f t="array" ref="R115">IF(C115="","",ROUND(Q115/1000000,3)&amp;" M€")</f>
        <v/>
      </c>
      <c r="S115" s="20">
</c>
      <c r="T115" s="9" cm="1" t="str">
        <f t="array" ref="T115">IF(C115="","",SUBSTITUTE(S115,"","")&amp;"%")</f>
        <v/>
      </c>
      <c r="U115" s="11" cm="1" t="str">
        <f t="array" ref="U115">IF(($N115="")*($P115=""),"",IF(($N115&lt;&gt;"")*($N115&gt;TODAY()-9)*($N115&lt;TODAY()+1)*($P115&lt;&gt;"")*($P115&gt;=TODAY())*($P115&lt;=TODAY()+13),"Semaine passée &amp; à venir",IF(($N115&lt;&gt;"")*($N115&gt;TODAY()-9)*($N115&lt;TODAY()+1),"Semaine passée",IF(($P115&lt;&gt;"")*($P115&gt;=TODAY())*($P115&lt;=TODAY()+13),"À venir","Autre"))))</f>
        <v/>
      </c>
      <c r="V115" cm="1" t="n">
        <f t="array" ref="V115">IF(C115&lt;&gt;"",1,0)</f>
        <v>0</v>
      </c>
    </row>
    <row r="116" ht="78.75" customHeight="1">
      <c r="A116" s="16">
</c>
      <c r="B116" s="12">
</c>
      <c r="C116" s="10">
</c>
      <c r="D116" s="17">
</c>
      <c r="E116" s="12">
</c>
      <c r="F116" s="12">
</c>
      <c r="G116" s="11" cm="1" t="str">
        <f t="array" ref="G116">IF(F116="","",SUBSTITUTE(SUBSTITUTE(SUBSTITUTE(SUBSTITUTE(F116,"&lt;li&gt;",CHAR(10)),"&lt;/li&gt;",""),"&lt;br&gt;",CHAR(10)),"&lt;strong&gt;",""))</f>
        <v/>
      </c>
      <c r="H116" s="11" cm="1" t="str">
        <f t="array" ref="H116">IF(G116="","",SUBSTITUTE(SUBSTITUTE(SUBSTITUTE(SUBSTITUTE(SUBSTITUTE(G116,"&lt;p&gt;",""),"&lt;/p&gt;",""),"&lt;ul&gt;",""),"&lt;/ul&gt;",""),"&lt;/strong&gt;",""))</f>
        <v/>
      </c>
      <c r="I116" s="11" cm="1" t="str">
        <f t="array" ref="I116">IF(C116="","",IF(OR(H116="",H116=0,H116=FALSE),"-",H116))</f>
        <v/>
      </c>
      <c r="J116" s="12">
</c>
      <c r="K116" s="12">
</c>
      <c r="L116" s="9" cm="1" t="str">
        <f t="array" ref="L116">IF(C116="","",IF(K116="Mort / Plus rien à faire","KO","OK"))</f>
        <v/>
      </c>
      <c r="M116" s="18">
</c>
      <c r="N116" s="13" cm="1" t="str">
        <f t="array" ref="N116">IF(OR(C116="",M116="",M116=0),"",M116)</f>
        <v/>
      </c>
      <c r="O116" s="18">
</c>
      <c r="P116" s="13" cm="1" t="str">
        <f t="array" ref="P116">IF(C116="","",IF(OR(O116="",O116=0),"-",O116))</f>
        <v/>
      </c>
      <c r="Q116" s="19">
</c>
      <c r="R116" s="9" cm="1" t="str">
        <f t="array" ref="R116">IF(C116="","",ROUND(Q116/1000000,3)&amp;" M€")</f>
        <v/>
      </c>
      <c r="S116" s="20">
</c>
      <c r="T116" s="9" cm="1" t="str">
        <f t="array" ref="T116">IF(C116="","",SUBSTITUTE(S116,"","")&amp;"%")</f>
        <v/>
      </c>
      <c r="U116" s="11" cm="1" t="str">
        <f t="array" ref="U116">IF(($N116="")*($P116=""),"",IF(($N116&lt;&gt;"")*($N116&gt;TODAY()-9)*($N116&lt;TODAY()+1)*($P116&lt;&gt;"")*($P116&gt;=TODAY())*($P116&lt;=TODAY()+13),"Semaine passée &amp; à venir",IF(($N116&lt;&gt;"")*($N116&gt;TODAY()-9)*($N116&lt;TODAY()+1),"Semaine passée",IF(($P116&lt;&gt;"")*($P116&gt;=TODAY())*($P116&lt;=TODAY()+13),"À venir","Autre"))))</f>
        <v/>
      </c>
      <c r="V116" cm="1" t="n">
        <f t="array" ref="V116">IF(C116&lt;&gt;"",1,0)</f>
        <v>0</v>
      </c>
    </row>
    <row r="117" ht="78.75" customHeight="1">
      <c r="A117" s="16">
</c>
      <c r="B117" s="12">
</c>
      <c r="C117" s="10">
</c>
      <c r="D117" s="17">
</c>
      <c r="E117" s="12">
</c>
      <c r="F117" s="12">
</c>
      <c r="G117" s="11" cm="1" t="str">
        <f t="array" ref="G117">IF(F117="","",SUBSTITUTE(SUBSTITUTE(SUBSTITUTE(SUBSTITUTE(F117,"&lt;li&gt;",CHAR(10)),"&lt;/li&gt;",""),"&lt;br&gt;",CHAR(10)),"&lt;strong&gt;",""))</f>
        <v/>
      </c>
      <c r="H117" s="11" cm="1" t="str">
        <f t="array" ref="H117">IF(G117="","",SUBSTITUTE(SUBSTITUTE(SUBSTITUTE(SUBSTITUTE(SUBSTITUTE(G117,"&lt;p&gt;",""),"&lt;/p&gt;",""),"&lt;ul&gt;",""),"&lt;/ul&gt;",""),"&lt;/strong&gt;",""))</f>
        <v/>
      </c>
      <c r="I117" s="11" cm="1" t="str">
        <f t="array" ref="I117">IF(C117="","",IF(OR(H117="",H117=0,H117=FALSE),"-",H117))</f>
        <v/>
      </c>
      <c r="J117" s="12">
</c>
      <c r="K117" s="12">
</c>
      <c r="L117" s="9" cm="1" t="str">
        <f t="array" ref="L117">IF(C117="","",IF(K117="Mort / Plus rien à faire","KO","OK"))</f>
        <v/>
      </c>
      <c r="M117" s="18">
</c>
      <c r="N117" s="13" cm="1" t="str">
        <f t="array" ref="N117">IF(OR(C117="",M117="",M117=0),"",M117)</f>
        <v/>
      </c>
      <c r="O117" s="18">
</c>
      <c r="P117" s="13" cm="1" t="str">
        <f t="array" ref="P117">IF(C117="","",IF(OR(O117="",O117=0),"-",O117))</f>
        <v/>
      </c>
      <c r="Q117" s="19">
</c>
      <c r="R117" s="9" cm="1" t="str">
        <f t="array" ref="R117">IF(C117="","",ROUND(Q117/1000000,3)&amp;" M€")</f>
        <v/>
      </c>
      <c r="S117" s="20">
</c>
      <c r="T117" s="9" cm="1" t="str">
        <f t="array" ref="T117">IF(C117="","",SUBSTITUTE(S117,"","")&amp;"%")</f>
        <v/>
      </c>
      <c r="U117" s="11" cm="1" t="str">
        <f t="array" ref="U117">IF(($N117="")*($P117=""),"",IF(($N117&lt;&gt;"")*($N117&gt;TODAY()-9)*($N117&lt;TODAY()+1)*($P117&lt;&gt;"")*($P117&gt;=TODAY())*($P117&lt;=TODAY()+13),"Semaine passée &amp; à venir",IF(($N117&lt;&gt;"")*($N117&gt;TODAY()-9)*($N117&lt;TODAY()+1),"Semaine passée",IF(($P117&lt;&gt;"")*($P117&gt;=TODAY())*($P117&lt;=TODAY()+13),"À venir","Autre"))))</f>
        <v/>
      </c>
      <c r="V117" cm="1" t="n">
        <f t="array" ref="V117">IF(C117&lt;&gt;"",1,0)</f>
        <v>0</v>
      </c>
    </row>
    <row r="118" ht="78.75" customHeight="1">
      <c r="A118" s="16">
</c>
      <c r="B118" s="12">
</c>
      <c r="C118" s="10">
</c>
      <c r="D118" s="17">
</c>
      <c r="E118" s="12">
</c>
      <c r="F118" s="12">
</c>
      <c r="G118" s="11" cm="1" t="str">
        <f t="array" ref="G118">IF(F118="","",SUBSTITUTE(SUBSTITUTE(SUBSTITUTE(SUBSTITUTE(F118,"&lt;li&gt;",CHAR(10)),"&lt;/li&gt;",""),"&lt;br&gt;",CHAR(10)),"&lt;strong&gt;",""))</f>
        <v/>
      </c>
      <c r="H118" s="11" cm="1" t="str">
        <f t="array" ref="H118">IF(G118="","",SUBSTITUTE(SUBSTITUTE(SUBSTITUTE(SUBSTITUTE(SUBSTITUTE(G118,"&lt;p&gt;",""),"&lt;/p&gt;",""),"&lt;ul&gt;",""),"&lt;/ul&gt;",""),"&lt;/strong&gt;",""))</f>
        <v/>
      </c>
      <c r="I118" s="11" cm="1" t="str">
        <f t="array" ref="I118">IF(C118="","",IF(OR(H118="",H118=0,H118=FALSE),"-",H118))</f>
        <v/>
      </c>
      <c r="J118" s="12">
</c>
      <c r="K118" s="12">
</c>
      <c r="L118" s="9" cm="1" t="str">
        <f t="array" ref="L118">IF(C118="","",IF(K118="Mort / Plus rien à faire","KO","OK"))</f>
        <v/>
      </c>
      <c r="M118" s="18">
</c>
      <c r="N118" s="13" cm="1" t="str">
        <f t="array" ref="N118">IF(OR(C118="",M118="",M118=0),"",M118)</f>
        <v/>
      </c>
      <c r="O118" s="18">
</c>
      <c r="P118" s="13" cm="1" t="str">
        <f t="array" ref="P118">IF(C118="","",IF(OR(O118="",O118=0),"-",O118))</f>
        <v/>
      </c>
      <c r="Q118" s="19">
</c>
      <c r="R118" s="9" cm="1" t="str">
        <f t="array" ref="R118">IF(C118="","",ROUND(Q118/1000000,3)&amp;" M€")</f>
        <v/>
      </c>
      <c r="S118" s="20">
</c>
      <c r="T118" s="9" cm="1" t="str">
        <f t="array" ref="T118">IF(C118="","",SUBSTITUTE(S118,"","")&amp;"%")</f>
        <v/>
      </c>
      <c r="U118" s="11" cm="1" t="str">
        <f t="array" ref="U118">IF(($N118="")*($P118=""),"",IF(($N118&lt;&gt;"")*($N118&gt;TODAY()-9)*($N118&lt;TODAY()+1)*($P118&lt;&gt;"")*($P118&gt;=TODAY())*($P118&lt;=TODAY()+13),"Semaine passée &amp; à venir",IF(($N118&lt;&gt;"")*($N118&gt;TODAY()-9)*($N118&lt;TODAY()+1),"Semaine passée",IF(($P118&lt;&gt;"")*($P118&gt;=TODAY())*($P118&lt;=TODAY()+13),"À venir","Autre"))))</f>
        <v/>
      </c>
      <c r="V118" cm="1" t="n">
        <f t="array" ref="V118">IF(C118&lt;&gt;"",1,0)</f>
        <v>0</v>
      </c>
    </row>
    <row r="119" ht="78.75" customHeight="1">
      <c r="A119" s="16">
</c>
      <c r="B119" s="12">
</c>
      <c r="C119" s="10">
</c>
      <c r="D119" s="17">
</c>
      <c r="E119" s="12">
</c>
      <c r="F119" s="12">
</c>
      <c r="G119" s="11" cm="1" t="str">
        <f t="array" ref="G119">IF(F119="","",SUBSTITUTE(SUBSTITUTE(SUBSTITUTE(SUBSTITUTE(F119,"&lt;li&gt;",CHAR(10)),"&lt;/li&gt;",""),"&lt;br&gt;",CHAR(10)),"&lt;strong&gt;",""))</f>
        <v/>
      </c>
      <c r="H119" s="11" cm="1" t="str">
        <f t="array" ref="H119">IF(G119="","",SUBSTITUTE(SUBSTITUTE(SUBSTITUTE(SUBSTITUTE(SUBSTITUTE(G119,"&lt;p&gt;",""),"&lt;/p&gt;",""),"&lt;ul&gt;",""),"&lt;/ul&gt;",""),"&lt;/strong&gt;",""))</f>
        <v/>
      </c>
      <c r="I119" s="11" cm="1" t="str">
        <f t="array" ref="I119">IF(C119="","",IF(OR(H119="",H119=0,H119=FALSE),"-",H119))</f>
        <v/>
      </c>
      <c r="J119" s="12">
</c>
      <c r="K119" s="12">
</c>
      <c r="L119" s="9" cm="1" t="str">
        <f t="array" ref="L119">IF(C119="","",IF(K119="Mort / Plus rien à faire","KO","OK"))</f>
        <v/>
      </c>
      <c r="M119" s="18">
</c>
      <c r="N119" s="13" cm="1" t="str">
        <f t="array" ref="N119">IF(OR(C119="",M119="",M119=0),"",M119)</f>
        <v/>
      </c>
      <c r="O119" s="18">
</c>
      <c r="P119" s="13" cm="1" t="str">
        <f t="array" ref="P119">IF(C119="","",IF(OR(O119="",O119=0),"-",O119))</f>
        <v/>
      </c>
      <c r="Q119" s="19">
</c>
      <c r="R119" s="9" cm="1" t="str">
        <f t="array" ref="R119">IF(C119="","",ROUND(Q119/1000000,3)&amp;" M€")</f>
        <v/>
      </c>
      <c r="S119" s="20">
</c>
      <c r="T119" s="9" cm="1" t="str">
        <f t="array" ref="T119">IF(C119="","",SUBSTITUTE(S119,"","")&amp;"%")</f>
        <v/>
      </c>
      <c r="U119" s="11" cm="1" t="str">
        <f t="array" ref="U119">IF(($N119="")*($P119=""),"",IF(($N119&lt;&gt;"")*($N119&gt;TODAY()-9)*($N119&lt;TODAY()+1)*($P119&lt;&gt;"")*($P119&gt;=TODAY())*($P119&lt;=TODAY()+13),"Semaine passée &amp; à venir",IF(($N119&lt;&gt;"")*($N119&gt;TODAY()-9)*($N119&lt;TODAY()+1),"Semaine passée",IF(($P119&lt;&gt;"")*($P119&gt;=TODAY())*($P119&lt;=TODAY()+13),"À venir","Autre"))))</f>
        <v/>
      </c>
      <c r="V119" cm="1" t="n">
        <f t="array" ref="V119">IF(C119&lt;&gt;"",1,0)</f>
        <v>0</v>
      </c>
    </row>
    <row r="120" ht="78.75" customHeight="1">
      <c r="A120" s="16">
</c>
      <c r="B120" s="12">
</c>
      <c r="C120" s="10">
</c>
      <c r="D120" s="17">
</c>
      <c r="E120" s="12">
</c>
      <c r="F120" s="12">
</c>
      <c r="G120" s="11" cm="1" t="str">
        <f t="array" ref="G120">IF(F120="","",SUBSTITUTE(SUBSTITUTE(SUBSTITUTE(SUBSTITUTE(F120,"&lt;li&gt;",CHAR(10)),"&lt;/li&gt;",""),"&lt;br&gt;",CHAR(10)),"&lt;strong&gt;",""))</f>
        <v/>
      </c>
      <c r="H120" s="11" cm="1" t="str">
        <f t="array" ref="H120">IF(G120="","",SUBSTITUTE(SUBSTITUTE(SUBSTITUTE(SUBSTITUTE(SUBSTITUTE(G120,"&lt;p&gt;",""),"&lt;/p&gt;",""),"&lt;ul&gt;",""),"&lt;/ul&gt;",""),"&lt;/strong&gt;",""))</f>
        <v/>
      </c>
      <c r="I120" s="11" cm="1" t="str">
        <f t="array" ref="I120">IF(C120="","",IF(OR(H120="",H120=0,H120=FALSE),"-",H120))</f>
        <v/>
      </c>
      <c r="J120" s="12">
</c>
      <c r="K120" s="12">
</c>
      <c r="L120" s="9" cm="1" t="str">
        <f t="array" ref="L120">IF(C120="","",IF(K120="Mort / Plus rien à faire","KO","OK"))</f>
        <v/>
      </c>
      <c r="M120" s="18">
</c>
      <c r="N120" s="13" cm="1" t="str">
        <f t="array" ref="N120">IF(OR(C120="",M120="",M120=0),"",M120)</f>
        <v/>
      </c>
      <c r="O120" s="18">
</c>
      <c r="P120" s="13" cm="1" t="str">
        <f t="array" ref="P120">IF(C120="","",IF(OR(O120="",O120=0),"-",O120))</f>
        <v/>
      </c>
      <c r="Q120" s="19">
</c>
      <c r="R120" s="9" cm="1" t="str">
        <f t="array" ref="R120">IF(C120="","",ROUND(Q120/1000000,3)&amp;" M€")</f>
        <v/>
      </c>
      <c r="S120" s="20">
</c>
      <c r="T120" s="9" cm="1" t="str">
        <f t="array" ref="T120">IF(C120="","",SUBSTITUTE(S120,"","")&amp;"%")</f>
        <v/>
      </c>
      <c r="U120" s="11" cm="1" t="str">
        <f t="array" ref="U120">IF(($N120="")*($P120=""),"",IF(($N120&lt;&gt;"")*($N120&gt;TODAY()-9)*($N120&lt;TODAY()+1)*($P120&lt;&gt;"")*($P120&gt;=TODAY())*($P120&lt;=TODAY()+13),"Semaine passée &amp; à venir",IF(($N120&lt;&gt;"")*($N120&gt;TODAY()-9)*($N120&lt;TODAY()+1),"Semaine passée",IF(($P120&lt;&gt;"")*($P120&gt;=TODAY())*($P120&lt;=TODAY()+13),"À venir","Autre"))))</f>
        <v/>
      </c>
      <c r="V120" cm="1" t="n">
        <f t="array" ref="V120">IF(C120&lt;&gt;"",1,0)</f>
        <v>0</v>
      </c>
    </row>
    <row r="121" ht="78.75" customHeight="1">
      <c r="A121" s="16">
</c>
      <c r="B121" s="12">
</c>
      <c r="C121" s="10">
</c>
      <c r="D121" s="17">
</c>
      <c r="E121" s="12">
</c>
      <c r="F121" s="12">
</c>
      <c r="G121" s="11" cm="1" t="str">
        <f t="array" ref="G121">IF(F121="","",SUBSTITUTE(SUBSTITUTE(SUBSTITUTE(SUBSTITUTE(F121,"&lt;li&gt;",CHAR(10)),"&lt;/li&gt;",""),"&lt;br&gt;",CHAR(10)),"&lt;strong&gt;",""))</f>
        <v/>
      </c>
      <c r="H121" s="11" cm="1" t="str">
        <f t="array" ref="H121">IF(G121="","",SUBSTITUTE(SUBSTITUTE(SUBSTITUTE(SUBSTITUTE(SUBSTITUTE(G121,"&lt;p&gt;",""),"&lt;/p&gt;",""),"&lt;ul&gt;",""),"&lt;/ul&gt;",""),"&lt;/strong&gt;",""))</f>
        <v/>
      </c>
      <c r="I121" s="11" cm="1" t="str">
        <f t="array" ref="I121">IF(C121="","",IF(OR(H121="",H121=0,H121=FALSE),"-",H121))</f>
        <v/>
      </c>
      <c r="J121" s="12">
</c>
      <c r="K121" s="12">
</c>
      <c r="L121" s="9" cm="1" t="str">
        <f t="array" ref="L121">IF(C121="","",IF(K121="Mort / Plus rien à faire","KO","OK"))</f>
        <v/>
      </c>
      <c r="M121" s="18">
</c>
      <c r="N121" s="13" cm="1" t="str">
        <f t="array" ref="N121">IF(OR(C121="",M121="",M121=0),"",M121)</f>
        <v/>
      </c>
      <c r="O121" s="18">
</c>
      <c r="P121" s="13" cm="1" t="str">
        <f t="array" ref="P121">IF(C121="","",IF(OR(O121="",O121=0),"-",O121))</f>
        <v/>
      </c>
      <c r="Q121" s="19">
</c>
      <c r="R121" s="9" cm="1" t="str">
        <f t="array" ref="R121">IF(C121="","",ROUND(Q121/1000000,3)&amp;" M€")</f>
        <v/>
      </c>
      <c r="S121" s="20">
</c>
      <c r="T121" s="9" cm="1" t="str">
        <f t="array" ref="T121">IF(C121="","",SUBSTITUTE(S121,"","")&amp;"%")</f>
        <v/>
      </c>
      <c r="U121" s="11" cm="1" t="str">
        <f t="array" ref="U121">IF(($N121="")*($P121=""),"",IF(($N121&lt;&gt;"")*($N121&gt;TODAY()-9)*($N121&lt;TODAY()+1)*($P121&lt;&gt;"")*($P121&gt;=TODAY())*($P121&lt;=TODAY()+13),"Semaine passée &amp; à venir",IF(($N121&lt;&gt;"")*($N121&gt;TODAY()-9)*($N121&lt;TODAY()+1),"Semaine passée",IF(($P121&lt;&gt;"")*($P121&gt;=TODAY())*($P121&lt;=TODAY()+13),"À venir","Autre"))))</f>
        <v/>
      </c>
      <c r="V121" cm="1" t="n">
        <f t="array" ref="V121">IF(C121&lt;&gt;"",1,0)</f>
        <v>0</v>
      </c>
    </row>
    <row r="122" ht="78.75" customHeight="1">
      <c r="A122" s="16">
</c>
      <c r="B122" s="12">
</c>
      <c r="C122" s="10">
</c>
      <c r="D122" s="17">
</c>
      <c r="E122" s="12">
</c>
      <c r="F122" s="12">
</c>
      <c r="G122" s="11" cm="1" t="str">
        <f t="array" ref="G122">IF(F122="","",SUBSTITUTE(SUBSTITUTE(SUBSTITUTE(SUBSTITUTE(F122,"&lt;li&gt;",CHAR(10)),"&lt;/li&gt;",""),"&lt;br&gt;",CHAR(10)),"&lt;strong&gt;",""))</f>
        <v/>
      </c>
      <c r="H122" s="11" cm="1" t="str">
        <f t="array" ref="H122">IF(G122="","",SUBSTITUTE(SUBSTITUTE(SUBSTITUTE(SUBSTITUTE(SUBSTITUTE(G122,"&lt;p&gt;",""),"&lt;/p&gt;",""),"&lt;ul&gt;",""),"&lt;/ul&gt;",""),"&lt;/strong&gt;",""))</f>
        <v/>
      </c>
      <c r="I122" s="11" cm="1" t="str">
        <f t="array" ref="I122">IF(C122="","",IF(OR(H122="",H122=0,H122=FALSE),"-",H122))</f>
        <v/>
      </c>
      <c r="J122" s="12">
</c>
      <c r="K122" s="12">
</c>
      <c r="L122" s="9" cm="1" t="str">
        <f t="array" ref="L122">IF(C122="","",IF(K122="Mort / Plus rien à faire","KO","OK"))</f>
        <v/>
      </c>
      <c r="M122" s="18">
</c>
      <c r="N122" s="13" cm="1" t="str">
        <f t="array" ref="N122">IF(OR(C122="",M122="",M122=0),"",M122)</f>
        <v/>
      </c>
      <c r="O122" s="18">
</c>
      <c r="P122" s="13" cm="1" t="str">
        <f t="array" ref="P122">IF(C122="","",IF(OR(O122="",O122=0),"-",O122))</f>
        <v/>
      </c>
      <c r="Q122" s="19">
</c>
      <c r="R122" s="9" cm="1" t="str">
        <f t="array" ref="R122">IF(C122="","",ROUND(Q122/1000000,3)&amp;" M€")</f>
        <v/>
      </c>
      <c r="S122" s="20">
</c>
      <c r="T122" s="9" cm="1" t="str">
        <f t="array" ref="T122">IF(C122="","",SUBSTITUTE(S122,"","")&amp;"%")</f>
        <v/>
      </c>
      <c r="U122" s="11" cm="1" t="str">
        <f t="array" ref="U122">IF(($N122="")*($P122=""),"",IF(($N122&lt;&gt;"")*($N122&gt;TODAY()-9)*($N122&lt;TODAY()+1)*($P122&lt;&gt;"")*($P122&gt;=TODAY())*($P122&lt;=TODAY()+13),"Semaine passée &amp; à venir",IF(($N122&lt;&gt;"")*($N122&gt;TODAY()-9)*($N122&lt;TODAY()+1),"Semaine passée",IF(($P122&lt;&gt;"")*($P122&gt;=TODAY())*($P122&lt;=TODAY()+13),"À venir","Autre"))))</f>
        <v/>
      </c>
      <c r="V122" cm="1" t="n">
        <f t="array" ref="V122">IF(C122&lt;&gt;"",1,0)</f>
        <v>0</v>
      </c>
    </row>
    <row r="123" ht="78.75" customHeight="1">
      <c r="A123" s="16">
</c>
      <c r="B123" s="12">
</c>
      <c r="C123" s="10">
</c>
      <c r="D123" s="17">
</c>
      <c r="E123" s="12">
</c>
      <c r="F123" s="12">
</c>
      <c r="G123" s="11" cm="1" t="str">
        <f t="array" ref="G123">IF(F123="","",SUBSTITUTE(SUBSTITUTE(SUBSTITUTE(SUBSTITUTE(F123,"&lt;li&gt;",CHAR(10)),"&lt;/li&gt;",""),"&lt;br&gt;",CHAR(10)),"&lt;strong&gt;",""))</f>
        <v/>
      </c>
      <c r="H123" s="11" cm="1" t="str">
        <f t="array" ref="H123">IF(G123="","",SUBSTITUTE(SUBSTITUTE(SUBSTITUTE(SUBSTITUTE(SUBSTITUTE(G123,"&lt;p&gt;",""),"&lt;/p&gt;",""),"&lt;ul&gt;",""),"&lt;/ul&gt;",""),"&lt;/strong&gt;",""))</f>
        <v/>
      </c>
      <c r="I123" s="11" cm="1" t="str">
        <f t="array" ref="I123">IF(C123="","",IF(OR(H123="",H123=0,H123=FALSE),"-",H123))</f>
        <v/>
      </c>
      <c r="J123" s="12">
</c>
      <c r="K123" s="12">
</c>
      <c r="L123" s="9" cm="1" t="str">
        <f t="array" ref="L123">IF(C123="","",IF(K123="Mort / Plus rien à faire","KO","OK"))</f>
        <v/>
      </c>
      <c r="M123" s="18">
</c>
      <c r="N123" s="13" cm="1" t="str">
        <f t="array" ref="N123">IF(OR(C123="",M123="",M123=0),"",M123)</f>
        <v/>
      </c>
      <c r="O123" s="18">
</c>
      <c r="P123" s="13" cm="1" t="str">
        <f t="array" ref="P123">IF(C123="","",IF(OR(O123="",O123=0),"-",O123))</f>
        <v/>
      </c>
      <c r="Q123" s="19">
</c>
      <c r="R123" s="9" cm="1" t="str">
        <f t="array" ref="R123">IF(C123="","",ROUND(Q123/1000000,3)&amp;" M€")</f>
        <v/>
      </c>
      <c r="S123" s="20">
</c>
      <c r="T123" s="9" cm="1" t="str">
        <f t="array" ref="T123">IF(C123="","",SUBSTITUTE(S123,"","")&amp;"%")</f>
        <v/>
      </c>
      <c r="U123" s="11" cm="1" t="str">
        <f t="array" ref="U123">IF(($N123="")*($P123=""),"",IF(($N123&lt;&gt;"")*($N123&gt;TODAY()-9)*($N123&lt;TODAY()+1)*($P123&lt;&gt;"")*($P123&gt;=TODAY())*($P123&lt;=TODAY()+13),"Semaine passée &amp; à venir",IF(($N123&lt;&gt;"")*($N123&gt;TODAY()-9)*($N123&lt;TODAY()+1),"Semaine passée",IF(($P123&lt;&gt;"")*($P123&gt;=TODAY())*($P123&lt;=TODAY()+13),"À venir","Autre"))))</f>
        <v/>
      </c>
      <c r="V123" cm="1" t="n">
        <f t="array" ref="V123">IF(C123&lt;&gt;"",1,0)</f>
        <v>0</v>
      </c>
    </row>
    <row r="124" ht="78.75" customHeight="1">
      <c r="A124" s="16">
</c>
      <c r="B124" s="12">
</c>
      <c r="C124" s="10">
</c>
      <c r="D124" s="17">
</c>
      <c r="E124" s="12">
</c>
      <c r="F124" s="12">
</c>
      <c r="G124" s="11" cm="1" t="str">
        <f t="array" ref="G124">IF(F124="","",SUBSTITUTE(SUBSTITUTE(SUBSTITUTE(SUBSTITUTE(F124,"&lt;li&gt;",CHAR(10)),"&lt;/li&gt;",""),"&lt;br&gt;",CHAR(10)),"&lt;strong&gt;",""))</f>
        <v/>
      </c>
      <c r="H124" s="11" cm="1" t="str">
        <f t="array" ref="H124">IF(G124="","",SUBSTITUTE(SUBSTITUTE(SUBSTITUTE(SUBSTITUTE(SUBSTITUTE(G124,"&lt;p&gt;",""),"&lt;/p&gt;",""),"&lt;ul&gt;",""),"&lt;/ul&gt;",""),"&lt;/strong&gt;",""))</f>
        <v/>
      </c>
      <c r="I124" s="11" cm="1" t="str">
        <f t="array" ref="I124">IF(C124="","",IF(OR(H124="",H124=0,H124=FALSE),"-",H124))</f>
        <v/>
      </c>
      <c r="J124" s="12">
</c>
      <c r="K124" s="12">
</c>
      <c r="L124" s="9" cm="1" t="str">
        <f t="array" ref="L124">IF(C124="","",IF(K124="Mort / Plus rien à faire","KO","OK"))</f>
        <v/>
      </c>
      <c r="M124" s="18">
</c>
      <c r="N124" s="13" cm="1" t="str">
        <f t="array" ref="N124">IF(OR(C124="",M124="",M124=0),"",M124)</f>
        <v/>
      </c>
      <c r="O124" s="18">
</c>
      <c r="P124" s="13" cm="1" t="str">
        <f t="array" ref="P124">IF(C124="","",IF(OR(O124="",O124=0),"-",O124))</f>
        <v/>
      </c>
      <c r="Q124" s="19">
</c>
      <c r="R124" s="9" cm="1" t="str">
        <f t="array" ref="R124">IF(C124="","",ROUND(Q124/1000000,3)&amp;" M€")</f>
        <v/>
      </c>
      <c r="S124" s="20">
</c>
      <c r="T124" s="9" cm="1" t="str">
        <f t="array" ref="T124">IF(C124="","",SUBSTITUTE(S124,"","")&amp;"%")</f>
        <v/>
      </c>
      <c r="U124" s="11" cm="1" t="str">
        <f t="array" ref="U124">IF(($N124="")*($P124=""),"",IF(($N124&lt;&gt;"")*($N124&gt;TODAY()-9)*($N124&lt;TODAY()+1)*($P124&lt;&gt;"")*($P124&gt;=TODAY())*($P124&lt;=TODAY()+13),"Semaine passée &amp; à venir",IF(($N124&lt;&gt;"")*($N124&gt;TODAY()-9)*($N124&lt;TODAY()+1),"Semaine passée",IF(($P124&lt;&gt;"")*($P124&gt;=TODAY())*($P124&lt;=TODAY()+13),"À venir","Autre"))))</f>
        <v/>
      </c>
      <c r="V124" cm="1" t="n">
        <f t="array" ref="V124">IF(C124&lt;&gt;"",1,0)</f>
        <v>0</v>
      </c>
    </row>
    <row r="125" ht="78.75" customHeight="1">
      <c r="A125" s="16">
</c>
      <c r="B125" s="12">
</c>
      <c r="C125" s="10">
</c>
      <c r="D125" s="17">
</c>
      <c r="E125" s="12">
</c>
      <c r="F125" s="12">
</c>
      <c r="G125" s="11" cm="1" t="str">
        <f t="array" ref="G125">IF(F125="","",SUBSTITUTE(SUBSTITUTE(SUBSTITUTE(SUBSTITUTE(F125,"&lt;li&gt;",CHAR(10)),"&lt;/li&gt;",""),"&lt;br&gt;",CHAR(10)),"&lt;strong&gt;",""))</f>
        <v/>
      </c>
      <c r="H125" s="11" cm="1" t="str">
        <f t="array" ref="H125">IF(G125="","",SUBSTITUTE(SUBSTITUTE(SUBSTITUTE(SUBSTITUTE(SUBSTITUTE(G125,"&lt;p&gt;",""),"&lt;/p&gt;",""),"&lt;ul&gt;",""),"&lt;/ul&gt;",""),"&lt;/strong&gt;",""))</f>
        <v/>
      </c>
      <c r="I125" s="11" cm="1" t="str">
        <f t="array" ref="I125">IF(C125="","",IF(OR(H125="",H125=0,H125=FALSE),"-",H125))</f>
        <v/>
      </c>
      <c r="J125" s="12">
</c>
      <c r="K125" s="12">
</c>
      <c r="L125" s="9" cm="1" t="str">
        <f t="array" ref="L125">IF(C125="","",IF(K125="Mort / Plus rien à faire","KO","OK"))</f>
        <v/>
      </c>
      <c r="M125" s="18">
</c>
      <c r="N125" s="13" cm="1" t="str">
        <f t="array" ref="N125">IF(OR(C125="",M125="",M125=0),"",M125)</f>
        <v/>
      </c>
      <c r="O125" s="18">
</c>
      <c r="P125" s="13" cm="1" t="str">
        <f t="array" ref="P125">IF(C125="","",IF(OR(O125="",O125=0),"-",O125))</f>
        <v/>
      </c>
      <c r="Q125" s="19">
</c>
      <c r="R125" s="9" cm="1" t="str">
        <f t="array" ref="R125">IF(C125="","",ROUND(Q125/1000000,3)&amp;" M€")</f>
        <v/>
      </c>
      <c r="S125" s="20">
</c>
      <c r="T125" s="9" cm="1" t="str">
        <f t="array" ref="T125">IF(C125="","",SUBSTITUTE(S125,"","")&amp;"%")</f>
        <v/>
      </c>
      <c r="U125" s="11" cm="1" t="str">
        <f t="array" ref="U125">IF(($N125="")*($P125=""),"",IF(($N125&lt;&gt;"")*($N125&gt;TODAY()-9)*($N125&lt;TODAY()+1)*($P125&lt;&gt;"")*($P125&gt;=TODAY())*($P125&lt;=TODAY()+13),"Semaine passée &amp; à venir",IF(($N125&lt;&gt;"")*($N125&gt;TODAY()-9)*($N125&lt;TODAY()+1),"Semaine passée",IF(($P125&lt;&gt;"")*($P125&gt;=TODAY())*($P125&lt;=TODAY()+13),"À venir","Autre"))))</f>
        <v/>
      </c>
      <c r="V125" cm="1" t="n">
        <f t="array" ref="V125">IF(C125&lt;&gt;"",1,0)</f>
        <v>0</v>
      </c>
    </row>
    <row r="126" ht="78.75" customHeight="1">
      <c r="A126" s="16">
</c>
      <c r="B126" s="12">
</c>
      <c r="C126" s="10">
</c>
      <c r="D126" s="17">
</c>
      <c r="E126" s="12">
</c>
      <c r="F126" s="12">
</c>
      <c r="G126" s="11" cm="1" t="str">
        <f t="array" ref="G126">IF(F126="","",SUBSTITUTE(SUBSTITUTE(SUBSTITUTE(SUBSTITUTE(F126,"&lt;li&gt;",CHAR(10)),"&lt;/li&gt;",""),"&lt;br&gt;",CHAR(10)),"&lt;strong&gt;",""))</f>
        <v/>
      </c>
      <c r="H126" s="11" cm="1" t="str">
        <f t="array" ref="H126">IF(G126="","",SUBSTITUTE(SUBSTITUTE(SUBSTITUTE(SUBSTITUTE(SUBSTITUTE(G126,"&lt;p&gt;",""),"&lt;/p&gt;",""),"&lt;ul&gt;",""),"&lt;/ul&gt;",""),"&lt;/strong&gt;",""))</f>
        <v/>
      </c>
      <c r="I126" s="11" cm="1" t="str">
        <f t="array" ref="I126">IF(C126="","",IF(OR(H126="",H126=0,H126=FALSE),"-",H126))</f>
        <v/>
      </c>
      <c r="J126" s="12">
</c>
      <c r="K126" s="12">
</c>
      <c r="L126" s="9" cm="1" t="str">
        <f t="array" ref="L126">IF(C126="","",IF(K126="Mort / Plus rien à faire","KO","OK"))</f>
        <v/>
      </c>
      <c r="M126" s="18">
</c>
      <c r="N126" s="13" cm="1" t="str">
        <f t="array" ref="N126">IF(OR(C126="",M126="",M126=0),"",M126)</f>
        <v/>
      </c>
      <c r="O126" s="18">
</c>
      <c r="P126" s="13" cm="1" t="str">
        <f t="array" ref="P126">IF(C126="","",IF(OR(O126="",O126=0),"-",O126))</f>
        <v/>
      </c>
      <c r="Q126" s="19">
</c>
      <c r="R126" s="9" cm="1" t="str">
        <f t="array" ref="R126">IF(C126="","",ROUND(Q126/1000000,3)&amp;" M€")</f>
        <v/>
      </c>
      <c r="S126" s="20">
</c>
      <c r="T126" s="9" cm="1" t="str">
        <f t="array" ref="T126">IF(C126="","",SUBSTITUTE(S126,"","")&amp;"%")</f>
        <v/>
      </c>
      <c r="U126" s="11" cm="1" t="str">
        <f t="array" ref="U126">IF(($N126="")*($P126=""),"",IF(($N126&lt;&gt;"")*($N126&gt;TODAY()-9)*($N126&lt;TODAY()+1)*($P126&lt;&gt;"")*($P126&gt;=TODAY())*($P126&lt;=TODAY()+13),"Semaine passée &amp; à venir",IF(($N126&lt;&gt;"")*($N126&gt;TODAY()-9)*($N126&lt;TODAY()+1),"Semaine passée",IF(($P126&lt;&gt;"")*($P126&gt;=TODAY())*($P126&lt;=TODAY()+13),"À venir","Autre"))))</f>
        <v/>
      </c>
      <c r="V126" cm="1" t="n">
        <f t="array" ref="V126">IF(C126&lt;&gt;"",1,0)</f>
        <v>0</v>
      </c>
    </row>
    <row r="127" ht="78.75" customHeight="1">
      <c r="A127" s="16">
</c>
      <c r="B127" s="12">
</c>
      <c r="C127" s="10">
</c>
      <c r="D127" s="17">
</c>
      <c r="E127" s="12">
</c>
      <c r="F127" s="12">
</c>
      <c r="G127" s="11" cm="1" t="str">
        <f t="array" ref="G127">IF(F127="","",SUBSTITUTE(SUBSTITUTE(SUBSTITUTE(SUBSTITUTE(F127,"&lt;li&gt;",CHAR(10)),"&lt;/li&gt;",""),"&lt;br&gt;",CHAR(10)),"&lt;strong&gt;",""))</f>
        <v/>
      </c>
      <c r="H127" s="11" cm="1" t="str">
        <f t="array" ref="H127">IF(G127="","",SUBSTITUTE(SUBSTITUTE(SUBSTITUTE(SUBSTITUTE(SUBSTITUTE(G127,"&lt;p&gt;",""),"&lt;/p&gt;",""),"&lt;ul&gt;",""),"&lt;/ul&gt;",""),"&lt;/strong&gt;",""))</f>
        <v/>
      </c>
      <c r="I127" s="11" cm="1" t="str">
        <f t="array" ref="I127">IF(C127="","",IF(OR(H127="",H127=0,H127=FALSE),"-",H127))</f>
        <v/>
      </c>
      <c r="J127" s="12">
</c>
      <c r="K127" s="12">
</c>
      <c r="L127" s="9" cm="1" t="str">
        <f t="array" ref="L127">IF(C127="","",IF(K127="Mort / Plus rien à faire","KO","OK"))</f>
        <v/>
      </c>
      <c r="M127" s="18">
</c>
      <c r="N127" s="13" cm="1" t="str">
        <f t="array" ref="N127">IF(OR(C127="",M127="",M127=0),"",M127)</f>
        <v/>
      </c>
      <c r="O127" s="18">
</c>
      <c r="P127" s="13" cm="1" t="str">
        <f t="array" ref="P127">IF(C127="","",IF(OR(O127="",O127=0),"-",O127))</f>
        <v/>
      </c>
      <c r="Q127" s="19">
</c>
      <c r="R127" s="9" cm="1" t="str">
        <f t="array" ref="R127">IF(C127="","",ROUND(Q127/1000000,3)&amp;" M€")</f>
        <v/>
      </c>
      <c r="S127" s="20">
</c>
      <c r="T127" s="9" cm="1" t="str">
        <f t="array" ref="T127">IF(C127="","",SUBSTITUTE(S127,"","")&amp;"%")</f>
        <v/>
      </c>
      <c r="U127" s="11" cm="1" t="str">
        <f t="array" ref="U127">IF(($N127="")*($P127=""),"",IF(($N127&lt;&gt;"")*($N127&gt;TODAY()-9)*($N127&lt;TODAY()+1)*($P127&lt;&gt;"")*($P127&gt;=TODAY())*($P127&lt;=TODAY()+13),"Semaine passée &amp; à venir",IF(($N127&lt;&gt;"")*($N127&gt;TODAY()-9)*($N127&lt;TODAY()+1),"Semaine passée",IF(($P127&lt;&gt;"")*($P127&gt;=TODAY())*($P127&lt;=TODAY()+13),"À venir","Autre"))))</f>
        <v/>
      </c>
      <c r="V127" cm="1" t="n">
        <f t="array" ref="V127">IF(C127&lt;&gt;"",1,0)</f>
        <v>0</v>
      </c>
    </row>
    <row r="128" ht="78.75" customHeight="1">
      <c r="A128" s="16">
</c>
      <c r="B128" s="12">
</c>
      <c r="C128" s="10">
</c>
      <c r="D128" s="17">
</c>
      <c r="E128" s="12">
</c>
      <c r="F128" s="12">
</c>
      <c r="G128" s="11" cm="1" t="str">
        <f t="array" ref="G128">IF(F128="","",SUBSTITUTE(SUBSTITUTE(SUBSTITUTE(SUBSTITUTE(F128,"&lt;li&gt;",CHAR(10)),"&lt;/li&gt;",""),"&lt;br&gt;",CHAR(10)),"&lt;strong&gt;",""))</f>
        <v/>
      </c>
      <c r="H128" s="11" cm="1" t="str">
        <f t="array" ref="H128">IF(G128="","",SUBSTITUTE(SUBSTITUTE(SUBSTITUTE(SUBSTITUTE(SUBSTITUTE(G128,"&lt;p&gt;",""),"&lt;/p&gt;",""),"&lt;ul&gt;",""),"&lt;/ul&gt;",""),"&lt;/strong&gt;",""))</f>
        <v/>
      </c>
      <c r="I128" s="11" cm="1" t="str">
        <f t="array" ref="I128">IF(C128="","",IF(OR(H128="",H128=0,H128=FALSE),"-",H128))</f>
        <v/>
      </c>
      <c r="J128" s="12">
</c>
      <c r="K128" s="12">
</c>
      <c r="L128" s="9" cm="1" t="str">
        <f t="array" ref="L128">IF(C128="","",IF(K128="Mort / Plus rien à faire","KO","OK"))</f>
        <v/>
      </c>
      <c r="M128" s="18">
</c>
      <c r="N128" s="13" cm="1" t="str">
        <f t="array" ref="N128">IF(OR(C128="",M128="",M128=0),"",M128)</f>
        <v/>
      </c>
      <c r="O128" s="18">
</c>
      <c r="P128" s="13" cm="1" t="str">
        <f t="array" ref="P128">IF(C128="","",IF(OR(O128="",O128=0),"-",O128))</f>
        <v/>
      </c>
      <c r="Q128" s="19">
</c>
      <c r="R128" s="9" cm="1" t="str">
        <f t="array" ref="R128">IF(C128="","",ROUND(Q128/1000000,3)&amp;" M€")</f>
        <v/>
      </c>
      <c r="S128" s="20">
</c>
      <c r="T128" s="9" cm="1" t="str">
        <f t="array" ref="T128">IF(C128="","",SUBSTITUTE(S128,"","")&amp;"%")</f>
        <v/>
      </c>
      <c r="U128" s="11" cm="1" t="str">
        <f t="array" ref="U128">IF(($N128="")*($P128=""),"",IF(($N128&lt;&gt;"")*($N128&gt;TODAY()-9)*($N128&lt;TODAY()+1)*($P128&lt;&gt;"")*($P128&gt;=TODAY())*($P128&lt;=TODAY()+13),"Semaine passée &amp; à venir",IF(($N128&lt;&gt;"")*($N128&gt;TODAY()-9)*($N128&lt;TODAY()+1),"Semaine passée",IF(($P128&lt;&gt;"")*($P128&gt;=TODAY())*($P128&lt;=TODAY()+13),"À venir","Autre"))))</f>
        <v/>
      </c>
      <c r="V128" cm="1" t="n">
        <f t="array" ref="V128">IF(C128&lt;&gt;"",1,0)</f>
        <v>0</v>
      </c>
    </row>
    <row r="129" ht="78.75" customHeight="1">
      <c r="A129" s="16">
</c>
      <c r="B129" s="12">
</c>
      <c r="C129" s="10">
</c>
      <c r="D129" s="17">
</c>
      <c r="E129" s="12">
</c>
      <c r="F129" s="12">
</c>
      <c r="G129" s="11" cm="1" t="str">
        <f t="array" ref="G129">IF(F129="","",SUBSTITUTE(SUBSTITUTE(SUBSTITUTE(SUBSTITUTE(F129,"&lt;li&gt;",CHAR(10)),"&lt;/li&gt;",""),"&lt;br&gt;",CHAR(10)),"&lt;strong&gt;",""))</f>
        <v/>
      </c>
      <c r="H129" s="11" cm="1" t="str">
        <f t="array" ref="H129">IF(G129="","",SUBSTITUTE(SUBSTITUTE(SUBSTITUTE(SUBSTITUTE(SUBSTITUTE(G129,"&lt;p&gt;",""),"&lt;/p&gt;",""),"&lt;ul&gt;",""),"&lt;/ul&gt;",""),"&lt;/strong&gt;",""))</f>
        <v/>
      </c>
      <c r="I129" s="11" cm="1" t="str">
        <f t="array" ref="I129">IF(C129="","",IF(OR(H129="",H129=0,H129=FALSE),"-",H129))</f>
        <v/>
      </c>
      <c r="J129" s="12">
</c>
      <c r="K129" s="12">
</c>
      <c r="L129" s="9" cm="1" t="str">
        <f t="array" ref="L129">IF(C129="","",IF(K129="Mort / Plus rien à faire","KO","OK"))</f>
        <v/>
      </c>
      <c r="M129" s="18">
</c>
      <c r="N129" s="13" cm="1" t="str">
        <f t="array" ref="N129">IF(OR(C129="",M129="",M129=0),"",M129)</f>
        <v/>
      </c>
      <c r="O129" s="18">
</c>
      <c r="P129" s="13" cm="1" t="str">
        <f t="array" ref="P129">IF(C129="","",IF(OR(O129="",O129=0),"-",O129))</f>
        <v/>
      </c>
      <c r="Q129" s="19">
</c>
      <c r="R129" s="9" cm="1" t="str">
        <f t="array" ref="R129">IF(C129="","",ROUND(Q129/1000000,3)&amp;" M€")</f>
        <v/>
      </c>
      <c r="S129" s="20">
</c>
      <c r="T129" s="9" cm="1" t="str">
        <f t="array" ref="T129">IF(C129="","",SUBSTITUTE(S129,"","")&amp;"%")</f>
        <v/>
      </c>
      <c r="U129" s="11" cm="1" t="str">
        <f t="array" ref="U129">IF(($N129="")*($P129=""),"",IF(($N129&lt;&gt;"")*($N129&gt;TODAY()-9)*($N129&lt;TODAY()+1)*($P129&lt;&gt;"")*($P129&gt;=TODAY())*($P129&lt;=TODAY()+13),"Semaine passée &amp; à venir",IF(($N129&lt;&gt;"")*($N129&gt;TODAY()-9)*($N129&lt;TODAY()+1),"Semaine passée",IF(($P129&lt;&gt;"")*($P129&gt;=TODAY())*($P129&lt;=TODAY()+13),"À venir","Autre"))))</f>
        <v/>
      </c>
      <c r="V129" cm="1" t="n">
        <f t="array" ref="V129">IF(C129&lt;&gt;"",1,0)</f>
        <v>0</v>
      </c>
    </row>
    <row r="130" ht="78.75" customHeight="1">
      <c r="A130" s="16">
</c>
      <c r="B130" s="12">
</c>
      <c r="C130" s="10">
</c>
      <c r="D130" s="17">
</c>
      <c r="E130" s="12">
</c>
      <c r="F130" s="12">
</c>
      <c r="G130" s="11" cm="1" t="str">
        <f t="array" ref="G130">IF(F130="","",SUBSTITUTE(SUBSTITUTE(SUBSTITUTE(SUBSTITUTE(F130,"&lt;li&gt;",CHAR(10)),"&lt;/li&gt;",""),"&lt;br&gt;",CHAR(10)),"&lt;strong&gt;",""))</f>
        <v/>
      </c>
      <c r="H130" s="11" cm="1" t="str">
        <f t="array" ref="H130">IF(G130="","",SUBSTITUTE(SUBSTITUTE(SUBSTITUTE(SUBSTITUTE(SUBSTITUTE(G130,"&lt;p&gt;",""),"&lt;/p&gt;",""),"&lt;ul&gt;",""),"&lt;/ul&gt;",""),"&lt;/strong&gt;",""))</f>
        <v/>
      </c>
      <c r="I130" s="11" cm="1" t="str">
        <f t="array" ref="I130">IF(C130="","",IF(OR(H130="",H130=0,H130=FALSE),"-",H130))</f>
        <v/>
      </c>
      <c r="J130" s="12">
</c>
      <c r="K130" s="12">
</c>
      <c r="L130" s="9" cm="1" t="str">
        <f t="array" ref="L130">IF(C130="","",IF(K130="Mort / Plus rien à faire","KO","OK"))</f>
        <v/>
      </c>
      <c r="M130" s="18">
</c>
      <c r="N130" s="13" cm="1" t="str">
        <f t="array" ref="N130">IF(OR(C130="",M130="",M130=0),"",M130)</f>
        <v/>
      </c>
      <c r="O130" s="18">
</c>
      <c r="P130" s="13" cm="1" t="str">
        <f t="array" ref="P130">IF(C130="","",IF(OR(O130="",O130=0),"-",O130))</f>
        <v/>
      </c>
      <c r="Q130" s="19">
</c>
      <c r="R130" s="9" cm="1" t="str">
        <f t="array" ref="R130">IF(C130="","",ROUND(Q130/1000000,3)&amp;" M€")</f>
        <v/>
      </c>
      <c r="S130" s="20">
</c>
      <c r="T130" s="9" cm="1" t="str">
        <f t="array" ref="T130">IF(C130="","",SUBSTITUTE(S130,"","")&amp;"%")</f>
        <v/>
      </c>
      <c r="U130" s="11" cm="1" t="str">
        <f t="array" ref="U130">IF(($N130="")*($P130=""),"",IF(($N130&lt;&gt;"")*($N130&gt;TODAY()-9)*($N130&lt;TODAY()+1)*($P130&lt;&gt;"")*($P130&gt;=TODAY())*($P130&lt;=TODAY()+13),"Semaine passée &amp; à venir",IF(($N130&lt;&gt;"")*($N130&gt;TODAY()-9)*($N130&lt;TODAY()+1),"Semaine passée",IF(($P130&lt;&gt;"")*($P130&gt;=TODAY())*($P130&lt;=TODAY()+13),"À venir","Autre"))))</f>
        <v/>
      </c>
      <c r="V130" cm="1" t="n">
        <f t="array" ref="V130">IF(C130&lt;&gt;"",1,0)</f>
        <v>0</v>
      </c>
    </row>
    <row r="131" ht="78.75" customHeight="1">
      <c r="A131" s="16">
</c>
      <c r="B131" s="12">
</c>
      <c r="C131" s="10">
</c>
      <c r="D131" s="17">
</c>
      <c r="E131" s="12">
</c>
      <c r="F131" s="12">
</c>
      <c r="G131" s="11" cm="1" t="str">
        <f t="array" ref="G131">IF(F131="","",SUBSTITUTE(SUBSTITUTE(SUBSTITUTE(SUBSTITUTE(F131,"&lt;li&gt;",CHAR(10)),"&lt;/li&gt;",""),"&lt;br&gt;",CHAR(10)),"&lt;strong&gt;",""))</f>
        <v/>
      </c>
      <c r="H131" s="11" cm="1" t="str">
        <f t="array" ref="H131">IF(G131="","",SUBSTITUTE(SUBSTITUTE(SUBSTITUTE(SUBSTITUTE(SUBSTITUTE(G131,"&lt;p&gt;",""),"&lt;/p&gt;",""),"&lt;ul&gt;",""),"&lt;/ul&gt;",""),"&lt;/strong&gt;",""))</f>
        <v/>
      </c>
      <c r="I131" s="11" cm="1" t="str">
        <f t="array" ref="I131">IF(C131="","",IF(OR(H131="",H131=0,H131=FALSE),"-",H131))</f>
        <v/>
      </c>
      <c r="J131" s="12">
</c>
      <c r="K131" s="12">
</c>
      <c r="L131" s="9" cm="1" t="str">
        <f t="array" ref="L131">IF(C131="","",IF(K131="Mort / Plus rien à faire","KO","OK"))</f>
        <v/>
      </c>
      <c r="M131" s="18">
</c>
      <c r="N131" s="13" cm="1" t="str">
        <f t="array" ref="N131">IF(OR(C131="",M131="",M131=0),"",M131)</f>
        <v/>
      </c>
      <c r="O131" s="18">
</c>
      <c r="P131" s="13" cm="1" t="str">
        <f t="array" ref="P131">IF(C131="","",IF(OR(O131="",O131=0),"-",O131))</f>
        <v/>
      </c>
      <c r="Q131" s="19">
</c>
      <c r="R131" s="9" cm="1" t="str">
        <f t="array" ref="R131">IF(C131="","",ROUND(Q131/1000000,3)&amp;" M€")</f>
        <v/>
      </c>
      <c r="S131" s="20">
</c>
      <c r="T131" s="9" cm="1" t="str">
        <f t="array" ref="T131">IF(C131="","",SUBSTITUTE(S131,"","")&amp;"%")</f>
        <v/>
      </c>
      <c r="U131" s="11" cm="1" t="str">
        <f t="array" ref="U131">IF(($N131="")*($P131=""),"",IF(($N131&lt;&gt;"")*($N131&gt;TODAY()-9)*($N131&lt;TODAY()+1)*($P131&lt;&gt;"")*($P131&gt;=TODAY())*($P131&lt;=TODAY()+13),"Semaine passée &amp; à venir",IF(($N131&lt;&gt;"")*($N131&gt;TODAY()-9)*($N131&lt;TODAY()+1),"Semaine passée",IF(($P131&lt;&gt;"")*($P131&gt;=TODAY())*($P131&lt;=TODAY()+13),"À venir","Autre"))))</f>
        <v/>
      </c>
      <c r="V131" cm="1" t="n">
        <f t="array" ref="V131">IF(C131&lt;&gt;"",1,0)</f>
        <v>0</v>
      </c>
    </row>
    <row r="132" ht="78.75" customHeight="1">
      <c r="A132" s="16">
</c>
      <c r="B132" s="12">
</c>
      <c r="C132" s="10">
</c>
      <c r="D132" s="17">
</c>
      <c r="E132" s="12">
</c>
      <c r="F132" s="12">
</c>
      <c r="G132" s="11" cm="1" t="str">
        <f t="array" ref="G132">IF(F132="","",SUBSTITUTE(SUBSTITUTE(SUBSTITUTE(SUBSTITUTE(F132,"&lt;li&gt;",CHAR(10)),"&lt;/li&gt;",""),"&lt;br&gt;",CHAR(10)),"&lt;strong&gt;",""))</f>
        <v/>
      </c>
      <c r="H132" s="11" cm="1" t="str">
        <f t="array" ref="H132">IF(G132="","",SUBSTITUTE(SUBSTITUTE(SUBSTITUTE(SUBSTITUTE(SUBSTITUTE(G132,"&lt;p&gt;",""),"&lt;/p&gt;",""),"&lt;ul&gt;",""),"&lt;/ul&gt;",""),"&lt;/strong&gt;",""))</f>
        <v/>
      </c>
      <c r="I132" s="11" cm="1" t="str">
        <f t="array" ref="I132">IF(C132="","",IF(OR(H132="",H132=0,H132=FALSE),"-",H132))</f>
        <v/>
      </c>
      <c r="J132" s="12">
</c>
      <c r="K132" s="12">
</c>
      <c r="L132" s="9" cm="1" t="str">
        <f t="array" ref="L132">IF(C132="","",IF(K132="Mort / Plus rien à faire","KO","OK"))</f>
        <v/>
      </c>
      <c r="M132" s="18">
</c>
      <c r="N132" s="13" cm="1" t="str">
        <f t="array" ref="N132">IF(OR(C132="",M132="",M132=0),"",M132)</f>
        <v/>
      </c>
      <c r="O132" s="18">
</c>
      <c r="P132" s="13" cm="1" t="str">
        <f t="array" ref="P132">IF(C132="","",IF(OR(O132="",O132=0),"-",O132))</f>
        <v/>
      </c>
      <c r="Q132" s="19">
</c>
      <c r="R132" s="9" cm="1" t="str">
        <f t="array" ref="R132">IF(C132="","",ROUND(Q132/1000000,3)&amp;" M€")</f>
        <v/>
      </c>
      <c r="S132" s="20">
</c>
      <c r="T132" s="9" cm="1" t="str">
        <f t="array" ref="T132">IF(C132="","",SUBSTITUTE(S132,"","")&amp;"%")</f>
        <v/>
      </c>
      <c r="U132" s="11" cm="1" t="str">
        <f t="array" ref="U132">IF(($N132="")*($P132=""),"",IF(($N132&lt;&gt;"")*($N132&gt;TODAY()-9)*($N132&lt;TODAY()+1)*($P132&lt;&gt;"")*($P132&gt;=TODAY())*($P132&lt;=TODAY()+13),"Semaine passée &amp; à venir",IF(($N132&lt;&gt;"")*($N132&gt;TODAY()-9)*($N132&lt;TODAY()+1),"Semaine passée",IF(($P132&lt;&gt;"")*($P132&gt;=TODAY())*($P132&lt;=TODAY()+13),"À venir","Autre"))))</f>
        <v/>
      </c>
      <c r="V132" cm="1" t="n">
        <f t="array" ref="V132">IF(C132&lt;&gt;"",1,0)</f>
        <v>0</v>
      </c>
    </row>
    <row r="133" ht="78.75" customHeight="1">
      <c r="A133" s="16">
</c>
      <c r="B133" s="12">
</c>
      <c r="C133" s="10">
</c>
      <c r="D133" s="17">
</c>
      <c r="E133" s="12">
</c>
      <c r="F133" s="12">
</c>
      <c r="G133" s="11" cm="1" t="str">
        <f t="array" ref="G133">IF(F133="","",SUBSTITUTE(SUBSTITUTE(SUBSTITUTE(SUBSTITUTE(F133,"&lt;li&gt;",CHAR(10)),"&lt;/li&gt;",""),"&lt;br&gt;",CHAR(10)),"&lt;strong&gt;",""))</f>
        <v/>
      </c>
      <c r="H133" s="11" cm="1" t="str">
        <f t="array" ref="H133">IF(G133="","",SUBSTITUTE(SUBSTITUTE(SUBSTITUTE(SUBSTITUTE(SUBSTITUTE(G133,"&lt;p&gt;",""),"&lt;/p&gt;",""),"&lt;ul&gt;",""),"&lt;/ul&gt;",""),"&lt;/strong&gt;",""))</f>
        <v/>
      </c>
      <c r="I133" s="11" cm="1" t="str">
        <f t="array" ref="I133">IF(C133="","",IF(OR(H133="",H133=0,H133=FALSE),"-",H133))</f>
        <v/>
      </c>
      <c r="J133" s="12">
</c>
      <c r="K133" s="12">
</c>
      <c r="L133" s="9" cm="1" t="str">
        <f t="array" ref="L133">IF(C133="","",IF(K133="Mort / Plus rien à faire","KO","OK"))</f>
        <v/>
      </c>
      <c r="M133" s="18">
</c>
      <c r="N133" s="13" cm="1" t="str">
        <f t="array" ref="N133">IF(OR(C133="",M133="",M133=0),"",M133)</f>
        <v/>
      </c>
      <c r="O133" s="18">
</c>
      <c r="P133" s="13" cm="1" t="str">
        <f t="array" ref="P133">IF(C133="","",IF(OR(O133="",O133=0),"-",O133))</f>
        <v/>
      </c>
      <c r="Q133" s="19">
</c>
      <c r="R133" s="9" cm="1" t="str">
        <f t="array" ref="R133">IF(C133="","",ROUND(Q133/1000000,3)&amp;" M€")</f>
        <v/>
      </c>
      <c r="S133" s="20">
</c>
      <c r="T133" s="9" cm="1" t="str">
        <f t="array" ref="T133">IF(C133="","",SUBSTITUTE(S133,"","")&amp;"%")</f>
        <v/>
      </c>
      <c r="U133" s="11" cm="1" t="str">
        <f t="array" ref="U133">IF(($N133="")*($P133=""),"",IF(($N133&lt;&gt;"")*($N133&gt;TODAY()-9)*($N133&lt;TODAY()+1)*($P133&lt;&gt;"")*($P133&gt;=TODAY())*($P133&lt;=TODAY()+13),"Semaine passée &amp; à venir",IF(($N133&lt;&gt;"")*($N133&gt;TODAY()-9)*($N133&lt;TODAY()+1),"Semaine passée",IF(($P133&lt;&gt;"")*($P133&gt;=TODAY())*($P133&lt;=TODAY()+13),"À venir","Autre"))))</f>
        <v/>
      </c>
      <c r="V133" cm="1" t="n">
        <f t="array" ref="V133">IF(C133&lt;&gt;"",1,0)</f>
        <v>0</v>
      </c>
    </row>
    <row r="134" ht="78.75" customHeight="1">
      <c r="A134" s="16">
</c>
      <c r="B134" s="12">
</c>
      <c r="C134" s="10">
</c>
      <c r="D134" s="17">
</c>
      <c r="E134" s="12">
</c>
      <c r="F134" s="12">
</c>
      <c r="G134" s="11" cm="1" t="str">
        <f t="array" ref="G134">IF(F134="","",SUBSTITUTE(SUBSTITUTE(SUBSTITUTE(SUBSTITUTE(F134,"&lt;li&gt;",CHAR(10)),"&lt;/li&gt;",""),"&lt;br&gt;",CHAR(10)),"&lt;strong&gt;",""))</f>
        <v/>
      </c>
      <c r="H134" s="11" cm="1" t="str">
        <f t="array" ref="H134">IF(G134="","",SUBSTITUTE(SUBSTITUTE(SUBSTITUTE(SUBSTITUTE(SUBSTITUTE(G134,"&lt;p&gt;",""),"&lt;/p&gt;",""),"&lt;ul&gt;",""),"&lt;/ul&gt;",""),"&lt;/strong&gt;",""))</f>
        <v/>
      </c>
      <c r="I134" s="11" cm="1" t="str">
        <f t="array" ref="I134">IF(C134="","",IF(OR(H134="",H134=0,H134=FALSE),"-",H134))</f>
        <v/>
      </c>
      <c r="J134" s="12">
</c>
      <c r="K134" s="12">
</c>
      <c r="L134" s="9" cm="1" t="str">
        <f t="array" ref="L134">IF(C134="","",IF(K134="Mort / Plus rien à faire","KO","OK"))</f>
        <v/>
      </c>
      <c r="M134" s="18">
</c>
      <c r="N134" s="13" cm="1" t="str">
        <f t="array" ref="N134">IF(OR(C134="",M134="",M134=0),"",M134)</f>
        <v/>
      </c>
      <c r="O134" s="18">
</c>
      <c r="P134" s="13" cm="1" t="str">
        <f t="array" ref="P134">IF(C134="","",IF(OR(O134="",O134=0),"-",O134))</f>
        <v/>
      </c>
      <c r="Q134" s="19">
</c>
      <c r="R134" s="9" cm="1" t="str">
        <f t="array" ref="R134">IF(C134="","",ROUND(Q134/1000000,3)&amp;" M€")</f>
        <v/>
      </c>
      <c r="S134" s="20">
</c>
      <c r="T134" s="9" cm="1" t="str">
        <f t="array" ref="T134">IF(C134="","",SUBSTITUTE(S134,"","")&amp;"%")</f>
        <v/>
      </c>
      <c r="U134" s="11" cm="1" t="str">
        <f t="array" ref="U134">IF(($N134="")*($P134=""),"",IF(($N134&lt;&gt;"")*($N134&gt;TODAY()-9)*($N134&lt;TODAY()+1)*($P134&lt;&gt;"")*($P134&gt;=TODAY())*($P134&lt;=TODAY()+13),"Semaine passée &amp; à venir",IF(($N134&lt;&gt;"")*($N134&gt;TODAY()-9)*($N134&lt;TODAY()+1),"Semaine passée",IF(($P134&lt;&gt;"")*($P134&gt;=TODAY())*($P134&lt;=TODAY()+13),"À venir","Autre"))))</f>
        <v/>
      </c>
      <c r="V134" cm="1" t="n">
        <f t="array" ref="V134">IF(C134&lt;&gt;"",1,0)</f>
        <v>0</v>
      </c>
    </row>
    <row r="135" ht="78.75" customHeight="1">
      <c r="A135" s="16">
</c>
      <c r="B135" s="12">
</c>
      <c r="C135" s="10">
</c>
      <c r="D135" s="17">
</c>
      <c r="E135" s="12">
</c>
      <c r="F135" s="12">
</c>
      <c r="G135" s="11" cm="1" t="str">
        <f t="array" ref="G135">IF(F135="","",SUBSTITUTE(SUBSTITUTE(SUBSTITUTE(SUBSTITUTE(F135,"&lt;li&gt;",CHAR(10)),"&lt;/li&gt;",""),"&lt;br&gt;",CHAR(10)),"&lt;strong&gt;",""))</f>
        <v/>
      </c>
      <c r="H135" s="11" cm="1" t="str">
        <f t="array" ref="H135">IF(G135="","",SUBSTITUTE(SUBSTITUTE(SUBSTITUTE(SUBSTITUTE(SUBSTITUTE(G135,"&lt;p&gt;",""),"&lt;/p&gt;",""),"&lt;ul&gt;",""),"&lt;/ul&gt;",""),"&lt;/strong&gt;",""))</f>
        <v/>
      </c>
      <c r="I135" s="11" cm="1" t="str">
        <f t="array" ref="I135">IF(C135="","",IF(OR(H135="",H135=0,H135=FALSE),"-",H135))</f>
        <v/>
      </c>
      <c r="J135" s="12">
</c>
      <c r="K135" s="12">
</c>
      <c r="L135" s="9" cm="1" t="str">
        <f t="array" ref="L135">IF(C135="","",IF(K135="Mort / Plus rien à faire","KO","OK"))</f>
        <v/>
      </c>
      <c r="M135" s="18">
</c>
      <c r="N135" s="13" cm="1" t="str">
        <f t="array" ref="N135">IF(OR(C135="",M135="",M135=0),"",M135)</f>
        <v/>
      </c>
      <c r="O135" s="18">
</c>
      <c r="P135" s="13" cm="1" t="str">
        <f t="array" ref="P135">IF(C135="","",IF(OR(O135="",O135=0),"-",O135))</f>
        <v/>
      </c>
      <c r="Q135" s="19">
</c>
      <c r="R135" s="9" cm="1" t="str">
        <f t="array" ref="R135">IF(C135="","",ROUND(Q135/1000000,3)&amp;" M€")</f>
        <v/>
      </c>
      <c r="S135" s="20">
</c>
      <c r="T135" s="9" cm="1" t="str">
        <f t="array" ref="T135">IF(C135="","",SUBSTITUTE(S135,"","")&amp;"%")</f>
        <v/>
      </c>
      <c r="U135" s="11" cm="1" t="str">
        <f t="array" ref="U135">IF(($N135="")*($P135=""),"",IF(($N135&lt;&gt;"")*($N135&gt;TODAY()-9)*($N135&lt;TODAY()+1)*($P135&lt;&gt;"")*($P135&gt;=TODAY())*($P135&lt;=TODAY()+13),"Semaine passée &amp; à venir",IF(($N135&lt;&gt;"")*($N135&gt;TODAY()-9)*($N135&lt;TODAY()+1),"Semaine passée",IF(($P135&lt;&gt;"")*($P135&gt;=TODAY())*($P135&lt;=TODAY()+13),"À venir","Autre"))))</f>
        <v/>
      </c>
      <c r="V135" cm="1" t="n">
        <f t="array" ref="V135">IF(C135&lt;&gt;"",1,0)</f>
        <v>0</v>
      </c>
    </row>
    <row r="136" ht="78.75" customHeight="1">
      <c r="A136" s="16">
</c>
      <c r="B136" s="12">
</c>
      <c r="C136" s="10">
</c>
      <c r="D136" s="17">
</c>
      <c r="E136" s="12">
</c>
      <c r="F136" s="12">
</c>
      <c r="G136" s="11" cm="1" t="str">
        <f t="array" ref="G136">IF(F136="","",SUBSTITUTE(SUBSTITUTE(SUBSTITUTE(SUBSTITUTE(F136,"&lt;li&gt;",CHAR(10)),"&lt;/li&gt;",""),"&lt;br&gt;",CHAR(10)),"&lt;strong&gt;",""))</f>
        <v/>
      </c>
      <c r="H136" s="11" cm="1" t="str">
        <f t="array" ref="H136">IF(G136="","",SUBSTITUTE(SUBSTITUTE(SUBSTITUTE(SUBSTITUTE(SUBSTITUTE(G136,"&lt;p&gt;",""),"&lt;/p&gt;",""),"&lt;ul&gt;",""),"&lt;/ul&gt;",""),"&lt;/strong&gt;",""))</f>
        <v/>
      </c>
      <c r="I136" s="11" cm="1" t="str">
        <f t="array" ref="I136">IF(C136="","",IF(OR(H136="",H136=0,H136=FALSE),"-",H136))</f>
        <v/>
      </c>
      <c r="J136" s="12">
</c>
      <c r="K136" s="12">
</c>
      <c r="L136" s="9" cm="1" t="str">
        <f t="array" ref="L136">IF(C136="","",IF(K136="Mort / Plus rien à faire","KO","OK"))</f>
        <v/>
      </c>
      <c r="M136" s="18">
</c>
      <c r="N136" s="13" cm="1" t="str">
        <f t="array" ref="N136">IF(OR(C136="",M136="",M136=0),"",M136)</f>
        <v/>
      </c>
      <c r="O136" s="18">
</c>
      <c r="P136" s="13" cm="1" t="str">
        <f t="array" ref="P136">IF(C136="","",IF(OR(O136="",O136=0),"-",O136))</f>
        <v/>
      </c>
      <c r="Q136" s="19">
</c>
      <c r="R136" s="9" cm="1" t="str">
        <f t="array" ref="R136">IF(C136="","",ROUND(Q136/1000000,3)&amp;" M€")</f>
        <v/>
      </c>
      <c r="S136" s="20">
</c>
      <c r="T136" s="9" cm="1" t="str">
        <f t="array" ref="T136">IF(C136="","",SUBSTITUTE(S136,"","")&amp;"%")</f>
        <v/>
      </c>
      <c r="U136" s="11" cm="1" t="str">
        <f t="array" ref="U136">IF(($N136="")*($P136=""),"",IF(($N136&lt;&gt;"")*($N136&gt;TODAY()-9)*($N136&lt;TODAY()+1)*($P136&lt;&gt;"")*($P136&gt;=TODAY())*($P136&lt;=TODAY()+13),"Semaine passée &amp; à venir",IF(($N136&lt;&gt;"")*($N136&gt;TODAY()-9)*($N136&lt;TODAY()+1),"Semaine passée",IF(($P136&lt;&gt;"")*($P136&gt;=TODAY())*($P136&lt;=TODAY()+13),"À venir","Autre"))))</f>
        <v/>
      </c>
      <c r="V136" cm="1" t="n">
        <f t="array" ref="V136">IF(C136&lt;&gt;"",1,0)</f>
        <v>0</v>
      </c>
    </row>
    <row r="137" ht="78.75" customHeight="1">
      <c r="A137" s="16">
</c>
      <c r="B137" s="12">
</c>
      <c r="C137" s="10">
</c>
      <c r="D137" s="17">
</c>
      <c r="E137" s="12">
</c>
      <c r="F137" s="12">
</c>
      <c r="G137" s="11" cm="1" t="str">
        <f t="array" ref="G137">IF(F137="","",SUBSTITUTE(SUBSTITUTE(SUBSTITUTE(SUBSTITUTE(F137,"&lt;li&gt;",CHAR(10)),"&lt;/li&gt;",""),"&lt;br&gt;",CHAR(10)),"&lt;strong&gt;",""))</f>
        <v/>
      </c>
      <c r="H137" s="11" cm="1" t="str">
        <f t="array" ref="H137">IF(G137="","",SUBSTITUTE(SUBSTITUTE(SUBSTITUTE(SUBSTITUTE(SUBSTITUTE(G137,"&lt;p&gt;",""),"&lt;/p&gt;",""),"&lt;ul&gt;",""),"&lt;/ul&gt;",""),"&lt;/strong&gt;",""))</f>
        <v/>
      </c>
      <c r="I137" s="11" cm="1" t="str">
        <f t="array" ref="I137">IF(C137="","",IF(OR(H137="",H137=0,H137=FALSE),"-",H137))</f>
        <v/>
      </c>
      <c r="J137" s="12">
</c>
      <c r="K137" s="12">
</c>
      <c r="L137" s="9" cm="1" t="str">
        <f t="array" ref="L137">IF(C137="","",IF(K137="Mort / Plus rien à faire","KO","OK"))</f>
        <v/>
      </c>
      <c r="M137" s="18">
</c>
      <c r="N137" s="13" cm="1" t="str">
        <f t="array" ref="N137">IF(OR(C137="",M137="",M137=0),"",M137)</f>
        <v/>
      </c>
      <c r="O137" s="18">
</c>
      <c r="P137" s="13" cm="1" t="str">
        <f t="array" ref="P137">IF(C137="","",IF(OR(O137="",O137=0),"-",O137))</f>
        <v/>
      </c>
      <c r="Q137" s="19">
</c>
      <c r="R137" s="9" cm="1" t="str">
        <f t="array" ref="R137">IF(C137="","",ROUND(Q137/1000000,3)&amp;" M€")</f>
        <v/>
      </c>
      <c r="S137" s="20">
</c>
      <c r="T137" s="9" cm="1" t="str">
        <f t="array" ref="T137">IF(C137="","",SUBSTITUTE(S137,"","")&amp;"%")</f>
        <v/>
      </c>
      <c r="U137" s="11" cm="1" t="str">
        <f t="array" ref="U137">IF(($N137="")*($P137=""),"",IF(($N137&lt;&gt;"")*($N137&gt;TODAY()-9)*($N137&lt;TODAY()+1)*($P137&lt;&gt;"")*($P137&gt;=TODAY())*($P137&lt;=TODAY()+13),"Semaine passée &amp; à venir",IF(($N137&lt;&gt;"")*($N137&gt;TODAY()-9)*($N137&lt;TODAY()+1),"Semaine passée",IF(($P137&lt;&gt;"")*($P137&gt;=TODAY())*($P137&lt;=TODAY()+13),"À venir","Autre"))))</f>
        <v/>
      </c>
      <c r="V137" cm="1" t="n">
        <f t="array" ref="V137">IF(C137&lt;&gt;"",1,0)</f>
        <v>0</v>
      </c>
    </row>
    <row r="138" ht="78.75" customHeight="1">
      <c r="A138" s="16">
</c>
      <c r="B138" s="12">
</c>
      <c r="C138" s="10">
</c>
      <c r="D138" s="17">
</c>
      <c r="E138" s="12">
</c>
      <c r="F138" s="12">
</c>
      <c r="G138" s="11" cm="1" t="str">
        <f t="array" ref="G138">IF(F138="","",SUBSTITUTE(SUBSTITUTE(SUBSTITUTE(SUBSTITUTE(F138,"&lt;li&gt;",CHAR(10)),"&lt;/li&gt;",""),"&lt;br&gt;",CHAR(10)),"&lt;strong&gt;",""))</f>
        <v/>
      </c>
      <c r="H138" s="11" cm="1" t="str">
        <f t="array" ref="H138">IF(G138="","",SUBSTITUTE(SUBSTITUTE(SUBSTITUTE(SUBSTITUTE(SUBSTITUTE(G138,"&lt;p&gt;",""),"&lt;/p&gt;",""),"&lt;ul&gt;",""),"&lt;/ul&gt;",""),"&lt;/strong&gt;",""))</f>
        <v/>
      </c>
      <c r="I138" s="11" cm="1" t="str">
        <f t="array" ref="I138">IF(C138="","",IF(OR(H138="",H138=0,H138=FALSE),"-",H138))</f>
        <v/>
      </c>
      <c r="J138" s="12">
</c>
      <c r="K138" s="12">
</c>
      <c r="L138" s="9" cm="1" t="str">
        <f t="array" ref="L138">IF(C138="","",IF(K138="Mort / Plus rien à faire","KO","OK"))</f>
        <v/>
      </c>
      <c r="M138" s="18">
</c>
      <c r="N138" s="13" cm="1" t="str">
        <f t="array" ref="N138">IF(OR(C138="",M138="",M138=0),"",M138)</f>
        <v/>
      </c>
      <c r="O138" s="18">
</c>
      <c r="P138" s="13" cm="1" t="str">
        <f t="array" ref="P138">IF(C138="","",IF(OR(O138="",O138=0),"-",O138))</f>
        <v/>
      </c>
      <c r="Q138" s="19">
</c>
      <c r="R138" s="9" cm="1" t="str">
        <f t="array" ref="R138">IF(C138="","",ROUND(Q138/1000000,3)&amp;" M€")</f>
        <v/>
      </c>
      <c r="S138" s="20">
</c>
      <c r="T138" s="9" cm="1" t="str">
        <f t="array" ref="T138">IF(C138="","",SUBSTITUTE(S138,"","")&amp;"%")</f>
        <v/>
      </c>
      <c r="U138" s="11" cm="1" t="str">
        <f t="array" ref="U138">IF(($N138="")*($P138=""),"",IF(($N138&lt;&gt;"")*($N138&gt;TODAY()-9)*($N138&lt;TODAY()+1)*($P138&lt;&gt;"")*($P138&gt;=TODAY())*($P138&lt;=TODAY()+13),"Semaine passée &amp; à venir",IF(($N138&lt;&gt;"")*($N138&gt;TODAY()-9)*($N138&lt;TODAY()+1),"Semaine passée",IF(($P138&lt;&gt;"")*($P138&gt;=TODAY())*($P138&lt;=TODAY()+13),"À venir","Autre"))))</f>
        <v/>
      </c>
      <c r="V138" cm="1" t="n">
        <f t="array" ref="V138">IF(C138&lt;&gt;"",1,0)</f>
        <v>0</v>
      </c>
    </row>
    <row r="139" ht="78.75" customHeight="1">
      <c r="A139" s="16">
</c>
      <c r="B139" s="12">
</c>
      <c r="C139" s="10">
</c>
      <c r="D139" s="17">
</c>
      <c r="E139" s="12">
</c>
      <c r="F139" s="12">
</c>
      <c r="G139" s="11" cm="1" t="str">
        <f t="array" ref="G139">IF(F139="","",SUBSTITUTE(SUBSTITUTE(SUBSTITUTE(SUBSTITUTE(F139,"&lt;li&gt;",CHAR(10)),"&lt;/li&gt;",""),"&lt;br&gt;",CHAR(10)),"&lt;strong&gt;",""))</f>
        <v/>
      </c>
      <c r="H139" s="11" cm="1" t="str">
        <f t="array" ref="H139">IF(G139="","",SUBSTITUTE(SUBSTITUTE(SUBSTITUTE(SUBSTITUTE(SUBSTITUTE(G139,"&lt;p&gt;",""),"&lt;/p&gt;",""),"&lt;ul&gt;",""),"&lt;/ul&gt;",""),"&lt;/strong&gt;",""))</f>
        <v/>
      </c>
      <c r="I139" s="11" cm="1" t="str">
        <f t="array" ref="I139">IF(C139="","",IF(OR(H139="",H139=0,H139=FALSE),"-",H139))</f>
        <v/>
      </c>
      <c r="J139" s="12">
</c>
      <c r="K139" s="12">
</c>
      <c r="L139" s="9" cm="1" t="str">
        <f t="array" ref="L139">IF(C139="","",IF(K139="Mort / Plus rien à faire","KO","OK"))</f>
        <v/>
      </c>
      <c r="M139" s="18">
</c>
      <c r="N139" s="13" cm="1" t="str">
        <f t="array" ref="N139">IF(OR(C139="",M139="",M139=0),"",M139)</f>
        <v/>
      </c>
      <c r="O139" s="18">
</c>
      <c r="P139" s="13" cm="1" t="str">
        <f t="array" ref="P139">IF(C139="","",IF(OR(O139="",O139=0),"-",O139))</f>
        <v/>
      </c>
      <c r="Q139" s="19">
</c>
      <c r="R139" s="9" cm="1" t="str">
        <f t="array" ref="R139">IF(C139="","",ROUND(Q139/1000000,3)&amp;" M€")</f>
        <v/>
      </c>
      <c r="S139" s="20">
</c>
      <c r="T139" s="9" cm="1" t="str">
        <f t="array" ref="T139">IF(C139="","",SUBSTITUTE(S139,"","")&amp;"%")</f>
        <v/>
      </c>
      <c r="U139" s="11" cm="1" t="str">
        <f t="array" ref="U139">IF(($N139="")*($P139=""),"",IF(($N139&lt;&gt;"")*($N139&gt;TODAY()-9)*($N139&lt;TODAY()+1)*($P139&lt;&gt;"")*($P139&gt;=TODAY())*($P139&lt;=TODAY()+13),"Semaine passée &amp; à venir",IF(($N139&lt;&gt;"")*($N139&gt;TODAY()-9)*($N139&lt;TODAY()+1),"Semaine passée",IF(($P139&lt;&gt;"")*($P139&gt;=TODAY())*($P139&lt;=TODAY()+13),"À venir","Autre"))))</f>
        <v/>
      </c>
      <c r="V139" cm="1" t="n">
        <f t="array" ref="V139">IF(C139&lt;&gt;"",1,0)</f>
        <v>0</v>
      </c>
    </row>
    <row r="140" ht="78.75" customHeight="1">
      <c r="A140" s="16">
</c>
      <c r="B140" s="12">
</c>
      <c r="C140" s="10">
</c>
      <c r="D140" s="17">
</c>
      <c r="E140" s="12">
</c>
      <c r="F140" s="12">
</c>
      <c r="G140" s="11" cm="1" t="str">
        <f t="array" ref="G140">IF(F140="","",SUBSTITUTE(SUBSTITUTE(SUBSTITUTE(SUBSTITUTE(F140,"&lt;li&gt;",CHAR(10)),"&lt;/li&gt;",""),"&lt;br&gt;",CHAR(10)),"&lt;strong&gt;",""))</f>
        <v/>
      </c>
      <c r="H140" s="11" cm="1" t="str">
        <f t="array" ref="H140">IF(G140="","",SUBSTITUTE(SUBSTITUTE(SUBSTITUTE(SUBSTITUTE(SUBSTITUTE(G140,"&lt;p&gt;",""),"&lt;/p&gt;",""),"&lt;ul&gt;",""),"&lt;/ul&gt;",""),"&lt;/strong&gt;",""))</f>
        <v/>
      </c>
      <c r="I140" s="11" cm="1" t="str">
        <f t="array" ref="I140">IF(C140="","",IF(OR(H140="",H140=0,H140=FALSE),"-",H140))</f>
        <v/>
      </c>
      <c r="J140" s="12">
</c>
      <c r="K140" s="12">
</c>
      <c r="L140" s="9" cm="1" t="str">
        <f t="array" ref="L140">IF(C140="","",IF(K140="Mort / Plus rien à faire","KO","OK"))</f>
        <v/>
      </c>
      <c r="M140" s="18">
</c>
      <c r="N140" s="13" cm="1" t="str">
        <f t="array" ref="N140">IF(OR(C140="",M140="",M140=0),"",M140)</f>
        <v/>
      </c>
      <c r="O140" s="18">
</c>
      <c r="P140" s="13" cm="1" t="str">
        <f t="array" ref="P140">IF(C140="","",IF(OR(O140="",O140=0),"-",O140))</f>
        <v/>
      </c>
      <c r="Q140" s="19">
</c>
      <c r="R140" s="9" cm="1" t="str">
        <f t="array" ref="R140">IF(C140="","",ROUND(Q140/1000000,3)&amp;" M€")</f>
        <v/>
      </c>
      <c r="S140" s="20">
</c>
      <c r="T140" s="9" cm="1" t="str">
        <f t="array" ref="T140">IF(C140="","",SUBSTITUTE(S140,"","")&amp;"%")</f>
        <v/>
      </c>
      <c r="U140" s="11" cm="1" t="str">
        <f t="array" ref="U140">IF(($N140="")*($P140=""),"",IF(($N140&lt;&gt;"")*($N140&gt;TODAY()-9)*($N140&lt;TODAY()+1)*($P140&lt;&gt;"")*($P140&gt;=TODAY())*($P140&lt;=TODAY()+13),"Semaine passée &amp; à venir",IF(($N140&lt;&gt;"")*($N140&gt;TODAY()-9)*($N140&lt;TODAY()+1),"Semaine passée",IF(($P140&lt;&gt;"")*($P140&gt;=TODAY())*($P140&lt;=TODAY()+13),"À venir","Autre"))))</f>
        <v/>
      </c>
      <c r="V140" cm="1" t="n">
        <f t="array" ref="V140">IF(C140&lt;&gt;"",1,0)</f>
        <v>0</v>
      </c>
    </row>
    <row r="141" ht="78.75" customHeight="1">
      <c r="A141" s="16">
</c>
      <c r="B141" s="12">
</c>
      <c r="C141" s="10">
</c>
      <c r="D141" s="17">
</c>
      <c r="E141" s="12">
</c>
      <c r="F141" s="12">
</c>
      <c r="G141" s="11" cm="1" t="str">
        <f t="array" ref="G141">IF(F141="","",SUBSTITUTE(SUBSTITUTE(SUBSTITUTE(SUBSTITUTE(F141,"&lt;li&gt;",CHAR(10)),"&lt;/li&gt;",""),"&lt;br&gt;",CHAR(10)),"&lt;strong&gt;",""))</f>
        <v/>
      </c>
      <c r="H141" s="11" cm="1" t="str">
        <f t="array" ref="H141">IF(G141="","",SUBSTITUTE(SUBSTITUTE(SUBSTITUTE(SUBSTITUTE(SUBSTITUTE(G141,"&lt;p&gt;",""),"&lt;/p&gt;",""),"&lt;ul&gt;",""),"&lt;/ul&gt;",""),"&lt;/strong&gt;",""))</f>
        <v/>
      </c>
      <c r="I141" s="11" cm="1" t="str">
        <f t="array" ref="I141">IF(C141="","",IF(OR(H141="",H141=0,H141=FALSE),"-",H141))</f>
        <v/>
      </c>
      <c r="J141" s="12">
</c>
      <c r="K141" s="12">
</c>
      <c r="L141" s="9" cm="1" t="str">
        <f t="array" ref="L141">IF(C141="","",IF(K141="Mort / Plus rien à faire","KO","OK"))</f>
        <v/>
      </c>
      <c r="M141" s="18">
</c>
      <c r="N141" s="13" cm="1" t="str">
        <f t="array" ref="N141">IF(OR(C141="",M141="",M141=0),"",M141)</f>
        <v/>
      </c>
      <c r="O141" s="18">
</c>
      <c r="P141" s="13" cm="1" t="str">
        <f t="array" ref="P141">IF(C141="","",IF(OR(O141="",O141=0),"-",O141))</f>
        <v/>
      </c>
      <c r="Q141" s="19">
</c>
      <c r="R141" s="9" cm="1" t="str">
        <f t="array" ref="R141">IF(C141="","",ROUND(Q141/1000000,3)&amp;" M€")</f>
        <v/>
      </c>
      <c r="S141" s="20">
</c>
      <c r="T141" s="9" cm="1" t="str">
        <f t="array" ref="T141">IF(C141="","",SUBSTITUTE(S141,"","")&amp;"%")</f>
        <v/>
      </c>
      <c r="U141" s="11" cm="1" t="str">
        <f t="array" ref="U141">IF(($N141="")*($P141=""),"",IF(($N141&lt;&gt;"")*($N141&gt;TODAY()-9)*($N141&lt;TODAY()+1)*($P141&lt;&gt;"")*($P141&gt;=TODAY())*($P141&lt;=TODAY()+13),"Semaine passée &amp; à venir",IF(($N141&lt;&gt;"")*($N141&gt;TODAY()-9)*($N141&lt;TODAY()+1),"Semaine passée",IF(($P141&lt;&gt;"")*($P141&gt;=TODAY())*($P141&lt;=TODAY()+13),"À venir","Autre"))))</f>
        <v/>
      </c>
      <c r="V141" cm="1" t="n">
        <f t="array" ref="V141">IF(C141&lt;&gt;"",1,0)</f>
        <v>0</v>
      </c>
    </row>
    <row r="142" ht="78.75" customHeight="1">
      <c r="A142" s="16">
</c>
      <c r="B142" s="12">
</c>
      <c r="C142" s="10">
</c>
      <c r="D142" s="17">
</c>
      <c r="E142" s="12">
</c>
      <c r="F142" s="12">
</c>
      <c r="G142" s="11" cm="1" t="str">
        <f t="array" ref="G142">IF(F142="","",SUBSTITUTE(SUBSTITUTE(SUBSTITUTE(SUBSTITUTE(F142,"&lt;li&gt;",CHAR(10)),"&lt;/li&gt;",""),"&lt;br&gt;",CHAR(10)),"&lt;strong&gt;",""))</f>
        <v/>
      </c>
      <c r="H142" s="11" cm="1" t="str">
        <f t="array" ref="H142">IF(G142="","",SUBSTITUTE(SUBSTITUTE(SUBSTITUTE(SUBSTITUTE(SUBSTITUTE(G142,"&lt;p&gt;",""),"&lt;/p&gt;",""),"&lt;ul&gt;",""),"&lt;/ul&gt;",""),"&lt;/strong&gt;",""))</f>
        <v/>
      </c>
      <c r="I142" s="11" cm="1" t="str">
        <f t="array" ref="I142">IF(C142="","",IF(OR(H142="",H142=0,H142=FALSE),"-",H142))</f>
        <v/>
      </c>
      <c r="J142" s="12">
</c>
      <c r="K142" s="12">
</c>
      <c r="L142" s="9" cm="1" t="str">
        <f t="array" ref="L142">IF(C142="","",IF(K142="Mort / Plus rien à faire","KO","OK"))</f>
        <v/>
      </c>
      <c r="M142" s="18">
</c>
      <c r="N142" s="13" cm="1" t="str">
        <f t="array" ref="N142">IF(OR(C142="",M142="",M142=0),"",M142)</f>
        <v/>
      </c>
      <c r="O142" s="18">
</c>
      <c r="P142" s="13" cm="1" t="str">
        <f t="array" ref="P142">IF(C142="","",IF(OR(O142="",O142=0),"-",O142))</f>
        <v/>
      </c>
      <c r="Q142" s="19">
</c>
      <c r="R142" s="9" cm="1" t="str">
        <f t="array" ref="R142">IF(C142="","",ROUND(Q142/1000000,3)&amp;" M€")</f>
        <v/>
      </c>
      <c r="S142" s="20">
</c>
      <c r="T142" s="9" cm="1" t="str">
        <f t="array" ref="T142">IF(C142="","",SUBSTITUTE(S142,"","")&amp;"%")</f>
        <v/>
      </c>
      <c r="U142" s="11" cm="1" t="str">
        <f t="array" ref="U142">IF(($N142="")*($P142=""),"",IF(($N142&lt;&gt;"")*($N142&gt;TODAY()-9)*($N142&lt;TODAY()+1)*($P142&lt;&gt;"")*($P142&gt;=TODAY())*($P142&lt;=TODAY()+13),"Semaine passée &amp; à venir",IF(($N142&lt;&gt;"")*($N142&gt;TODAY()-9)*($N142&lt;TODAY()+1),"Semaine passée",IF(($P142&lt;&gt;"")*($P142&gt;=TODAY())*($P142&lt;=TODAY()+13),"À venir","Autre"))))</f>
        <v/>
      </c>
      <c r="V142" cm="1" t="n">
        <f t="array" ref="V142">IF(C142&lt;&gt;"",1,0)</f>
        <v>0</v>
      </c>
    </row>
    <row r="143" ht="78.75" customHeight="1">
      <c r="A143" s="16">
</c>
      <c r="B143" s="12">
</c>
      <c r="C143" s="10">
</c>
      <c r="D143" s="17">
</c>
      <c r="E143" s="12">
</c>
      <c r="F143" s="12">
</c>
      <c r="G143" s="11" cm="1" t="str">
        <f t="array" ref="G143">IF(F143="","",SUBSTITUTE(SUBSTITUTE(SUBSTITUTE(SUBSTITUTE(F143,"&lt;li&gt;",CHAR(10)),"&lt;/li&gt;",""),"&lt;br&gt;",CHAR(10)),"&lt;strong&gt;",""))</f>
        <v/>
      </c>
      <c r="H143" s="11" cm="1" t="str">
        <f t="array" ref="H143">IF(G143="","",SUBSTITUTE(SUBSTITUTE(SUBSTITUTE(SUBSTITUTE(SUBSTITUTE(G143,"&lt;p&gt;",""),"&lt;/p&gt;",""),"&lt;ul&gt;",""),"&lt;/ul&gt;",""),"&lt;/strong&gt;",""))</f>
        <v/>
      </c>
      <c r="I143" s="11" cm="1" t="str">
        <f t="array" ref="I143">IF(C143="","",IF(OR(H143="",H143=0,H143=FALSE),"-",H143))</f>
        <v/>
      </c>
      <c r="J143" s="12">
</c>
      <c r="K143" s="12">
</c>
      <c r="L143" s="9" cm="1" t="str">
        <f t="array" ref="L143">IF(C143="","",IF(K143="Mort / Plus rien à faire","KO","OK"))</f>
        <v/>
      </c>
      <c r="M143" s="18">
</c>
      <c r="N143" s="13" cm="1" t="str">
        <f t="array" ref="N143">IF(OR(C143="",M143="",M143=0),"",M143)</f>
        <v/>
      </c>
      <c r="O143" s="18">
</c>
      <c r="P143" s="13" cm="1" t="str">
        <f t="array" ref="P143">IF(C143="","",IF(OR(O143="",O143=0),"-",O143))</f>
        <v/>
      </c>
      <c r="Q143" s="19">
</c>
      <c r="R143" s="9" cm="1" t="str">
        <f t="array" ref="R143">IF(C143="","",ROUND(Q143/1000000,3)&amp;" M€")</f>
        <v/>
      </c>
      <c r="S143" s="20">
</c>
      <c r="T143" s="9" cm="1" t="str">
        <f t="array" ref="T143">IF(C143="","",SUBSTITUTE(S143,"","")&amp;"%")</f>
        <v/>
      </c>
      <c r="U143" s="11" cm="1" t="str">
        <f t="array" ref="U143">IF(($N143="")*($P143=""),"",IF(($N143&lt;&gt;"")*($N143&gt;TODAY()-9)*($N143&lt;TODAY()+1)*($P143&lt;&gt;"")*($P143&gt;=TODAY())*($P143&lt;=TODAY()+13),"Semaine passée &amp; à venir",IF(($N143&lt;&gt;"")*($N143&gt;TODAY()-9)*($N143&lt;TODAY()+1),"Semaine passée",IF(($P143&lt;&gt;"")*($P143&gt;=TODAY())*($P143&lt;=TODAY()+13),"À venir","Autre"))))</f>
        <v/>
      </c>
      <c r="V143" cm="1" t="n">
        <f t="array" ref="V143">IF(C143&lt;&gt;"",1,0)</f>
        <v>0</v>
      </c>
    </row>
    <row r="144" ht="78.75" customHeight="1">
      <c r="A144" s="16">
</c>
      <c r="B144" s="12">
</c>
      <c r="C144" s="10">
</c>
      <c r="D144" s="17">
</c>
      <c r="E144" s="12">
</c>
      <c r="F144" s="12">
</c>
      <c r="G144" s="11" cm="1" t="str">
        <f t="array" ref="G144">IF(F144="","",SUBSTITUTE(SUBSTITUTE(SUBSTITUTE(SUBSTITUTE(F144,"&lt;li&gt;",CHAR(10)),"&lt;/li&gt;",""),"&lt;br&gt;",CHAR(10)),"&lt;strong&gt;",""))</f>
        <v/>
      </c>
      <c r="H144" s="11" cm="1" t="str">
        <f t="array" ref="H144">IF(G144="","",SUBSTITUTE(SUBSTITUTE(SUBSTITUTE(SUBSTITUTE(SUBSTITUTE(G144,"&lt;p&gt;",""),"&lt;/p&gt;",""),"&lt;ul&gt;",""),"&lt;/ul&gt;",""),"&lt;/strong&gt;",""))</f>
        <v/>
      </c>
      <c r="I144" s="11" cm="1" t="str">
        <f t="array" ref="I144">IF(C144="","",IF(OR(H144="",H144=0,H144=FALSE),"-",H144))</f>
        <v/>
      </c>
      <c r="J144" s="12">
</c>
      <c r="K144" s="12">
</c>
      <c r="L144" s="9" cm="1" t="str">
        <f t="array" ref="L144">IF(C144="","",IF(K144="Mort / Plus rien à faire","KO","OK"))</f>
        <v/>
      </c>
      <c r="M144" s="18">
</c>
      <c r="N144" s="13" cm="1" t="str">
        <f t="array" ref="N144">IF(OR(C144="",M144="",M144=0),"",M144)</f>
        <v/>
      </c>
      <c r="O144" s="18">
</c>
      <c r="P144" s="13" cm="1" t="str">
        <f t="array" ref="P144">IF(C144="","",IF(OR(O144="",O144=0),"-",O144))</f>
        <v/>
      </c>
      <c r="Q144" s="19">
</c>
      <c r="R144" s="9" cm="1" t="str">
        <f t="array" ref="R144">IF(C144="","",ROUND(Q144/1000000,3)&amp;" M€")</f>
        <v/>
      </c>
      <c r="S144" s="20">
</c>
      <c r="T144" s="9" cm="1" t="str">
        <f t="array" ref="T144">IF(C144="","",SUBSTITUTE(S144,"","")&amp;"%")</f>
        <v/>
      </c>
      <c r="U144" s="11" cm="1" t="str">
        <f t="array" ref="U144">IF(($N144="")*($P144=""),"",IF(($N144&lt;&gt;"")*($N144&gt;TODAY()-9)*($N144&lt;TODAY()+1)*($P144&lt;&gt;"")*($P144&gt;=TODAY())*($P144&lt;=TODAY()+13),"Semaine passée &amp; à venir",IF(($N144&lt;&gt;"")*($N144&gt;TODAY()-9)*($N144&lt;TODAY()+1),"Semaine passée",IF(($P144&lt;&gt;"")*($P144&gt;=TODAY())*($P144&lt;=TODAY()+13),"À venir","Autre"))))</f>
        <v/>
      </c>
      <c r="V144" cm="1" t="n">
        <f t="array" ref="V144">IF(C144&lt;&gt;"",1,0)</f>
        <v>0</v>
      </c>
    </row>
    <row r="145" ht="78.75" customHeight="1">
      <c r="A145" s="16">
</c>
      <c r="B145" s="12">
</c>
      <c r="C145" s="10">
</c>
      <c r="D145" s="17">
</c>
      <c r="E145" s="12">
</c>
      <c r="F145" s="12">
</c>
      <c r="G145" s="11" cm="1" t="str">
        <f t="array" ref="G145">IF(F145="","",SUBSTITUTE(SUBSTITUTE(SUBSTITUTE(SUBSTITUTE(F145,"&lt;li&gt;",CHAR(10)),"&lt;/li&gt;",""),"&lt;br&gt;",CHAR(10)),"&lt;strong&gt;",""))</f>
        <v/>
      </c>
      <c r="H145" s="11" cm="1" t="str">
        <f t="array" ref="H145">IF(G145="","",SUBSTITUTE(SUBSTITUTE(SUBSTITUTE(SUBSTITUTE(SUBSTITUTE(G145,"&lt;p&gt;",""),"&lt;/p&gt;",""),"&lt;ul&gt;",""),"&lt;/ul&gt;",""),"&lt;/strong&gt;",""))</f>
        <v/>
      </c>
      <c r="I145" s="11" cm="1" t="str">
        <f t="array" ref="I145">IF(C145="","",IF(OR(H145="",H145=0,H145=FALSE),"-",H145))</f>
        <v/>
      </c>
      <c r="J145" s="12">
</c>
      <c r="K145" s="12">
</c>
      <c r="L145" s="9" cm="1" t="str">
        <f t="array" ref="L145">IF(C145="","",IF(K145="Mort / Plus rien à faire","KO","OK"))</f>
        <v/>
      </c>
      <c r="M145" s="18">
</c>
      <c r="N145" s="13" cm="1" t="str">
        <f t="array" ref="N145">IF(OR(C145="",M145="",M145=0),"",M145)</f>
        <v/>
      </c>
      <c r="O145" s="18">
</c>
      <c r="P145" s="13" cm="1" t="str">
        <f t="array" ref="P145">IF(C145="","",IF(OR(O145="",O145=0),"-",O145))</f>
        <v/>
      </c>
      <c r="Q145" s="19">
</c>
      <c r="R145" s="9" cm="1" t="str">
        <f t="array" ref="R145">IF(C145="","",ROUND(Q145/1000000,3)&amp;" M€")</f>
        <v/>
      </c>
      <c r="S145" s="20">
</c>
      <c r="T145" s="9" cm="1" t="str">
        <f t="array" ref="T145">IF(C145="","",SUBSTITUTE(S145,"","")&amp;"%")</f>
        <v/>
      </c>
      <c r="U145" s="11" cm="1" t="str">
        <f t="array" ref="U145">IF(($N145="")*($P145=""),"",IF(($N145&lt;&gt;"")*($N145&gt;TODAY()-9)*($N145&lt;TODAY()+1)*($P145&lt;&gt;"")*($P145&gt;=TODAY())*($P145&lt;=TODAY()+13),"Semaine passée &amp; à venir",IF(($N145&lt;&gt;"")*($N145&gt;TODAY()-9)*($N145&lt;TODAY()+1),"Semaine passée",IF(($P145&lt;&gt;"")*($P145&gt;=TODAY())*($P145&lt;=TODAY()+13),"À venir","Autre"))))</f>
        <v/>
      </c>
      <c r="V145" cm="1" t="n">
        <f t="array" ref="V145">IF(C145&lt;&gt;"",1,0)</f>
        <v>0</v>
      </c>
    </row>
    <row r="146" ht="78.75" customHeight="1">
      <c r="A146" s="16">
</c>
      <c r="B146" s="12">
</c>
      <c r="C146" s="10">
</c>
      <c r="D146" s="17">
</c>
      <c r="E146" s="12">
</c>
      <c r="F146" s="12">
</c>
      <c r="G146" s="11" cm="1" t="str">
        <f t="array" ref="G146">IF(F146="","",SUBSTITUTE(SUBSTITUTE(SUBSTITUTE(SUBSTITUTE(F146,"&lt;li&gt;",CHAR(10)),"&lt;/li&gt;",""),"&lt;br&gt;",CHAR(10)),"&lt;strong&gt;",""))</f>
        <v/>
      </c>
      <c r="H146" s="11" cm="1" t="str">
        <f t="array" ref="H146">IF(G146="","",SUBSTITUTE(SUBSTITUTE(SUBSTITUTE(SUBSTITUTE(SUBSTITUTE(G146,"&lt;p&gt;",""),"&lt;/p&gt;",""),"&lt;ul&gt;",""),"&lt;/ul&gt;",""),"&lt;/strong&gt;",""))</f>
        <v/>
      </c>
      <c r="I146" s="11" cm="1" t="str">
        <f t="array" ref="I146">IF(C146="","",IF(OR(H146="",H146=0,H146=FALSE),"-",H146))</f>
        <v/>
      </c>
      <c r="J146" s="12">
</c>
      <c r="K146" s="12">
</c>
      <c r="L146" s="9" cm="1" t="str">
        <f t="array" ref="L146">IF(C146="","",IF(K146="Mort / Plus rien à faire","KO","OK"))</f>
        <v/>
      </c>
      <c r="M146" s="18">
</c>
      <c r="N146" s="13" cm="1" t="str">
        <f t="array" ref="N146">IF(OR(C146="",M146="",M146=0),"",M146)</f>
        <v/>
      </c>
      <c r="O146" s="18">
</c>
      <c r="P146" s="13" cm="1" t="str">
        <f t="array" ref="P146">IF(C146="","",IF(OR(O146="",O146=0),"-",O146))</f>
        <v/>
      </c>
      <c r="Q146" s="19">
</c>
      <c r="R146" s="9" cm="1" t="str">
        <f t="array" ref="R146">IF(C146="","",ROUND(Q146/1000000,3)&amp;" M€")</f>
        <v/>
      </c>
      <c r="S146" s="20">
</c>
      <c r="T146" s="9" cm="1" t="str">
        <f t="array" ref="T146">IF(C146="","",SUBSTITUTE(S146,"","")&amp;"%")</f>
        <v/>
      </c>
      <c r="U146" s="11" cm="1" t="str">
        <f t="array" ref="U146">IF(($N146="")*($P146=""),"",IF(($N146&lt;&gt;"")*($N146&gt;TODAY()-9)*($N146&lt;TODAY()+1)*($P146&lt;&gt;"")*($P146&gt;=TODAY())*($P146&lt;=TODAY()+13),"Semaine passée &amp; à venir",IF(($N146&lt;&gt;"")*($N146&gt;TODAY()-9)*($N146&lt;TODAY()+1),"Semaine passée",IF(($P146&lt;&gt;"")*($P146&gt;=TODAY())*($P146&lt;=TODAY()+13),"À venir","Autre"))))</f>
        <v/>
      </c>
      <c r="V146" cm="1" t="n">
        <f t="array" ref="V146">IF(C146&lt;&gt;"",1,0)</f>
        <v>0</v>
      </c>
    </row>
    <row r="147" ht="78.75" customHeight="1">
      <c r="A147" s="16">
</c>
      <c r="B147" s="12">
</c>
      <c r="C147" s="10">
</c>
      <c r="D147" s="17">
</c>
      <c r="E147" s="12">
</c>
      <c r="F147" s="12">
</c>
      <c r="G147" s="11" cm="1" t="str">
        <f t="array" ref="G147">IF(F147="","",SUBSTITUTE(SUBSTITUTE(SUBSTITUTE(SUBSTITUTE(F147,"&lt;li&gt;",CHAR(10)),"&lt;/li&gt;",""),"&lt;br&gt;",CHAR(10)),"&lt;strong&gt;",""))</f>
        <v/>
      </c>
      <c r="H147" s="11" cm="1" t="str">
        <f t="array" ref="H147">IF(G147="","",SUBSTITUTE(SUBSTITUTE(SUBSTITUTE(SUBSTITUTE(SUBSTITUTE(G147,"&lt;p&gt;",""),"&lt;/p&gt;",""),"&lt;ul&gt;",""),"&lt;/ul&gt;",""),"&lt;/strong&gt;",""))</f>
        <v/>
      </c>
      <c r="I147" s="11" cm="1" t="str">
        <f t="array" ref="I147">IF(C147="","",IF(OR(H147="",H147=0,H147=FALSE),"-",H147))</f>
        <v/>
      </c>
      <c r="J147" s="12">
</c>
      <c r="K147" s="12">
</c>
      <c r="L147" s="9" cm="1" t="str">
        <f t="array" ref="L147">IF(C147="","",IF(K147="Mort / Plus rien à faire","KO","OK"))</f>
        <v/>
      </c>
      <c r="M147" s="18">
</c>
      <c r="N147" s="13" cm="1" t="str">
        <f t="array" ref="N147">IF(OR(C147="",M147="",M147=0),"",M147)</f>
        <v/>
      </c>
      <c r="O147" s="18">
</c>
      <c r="P147" s="13" cm="1" t="str">
        <f t="array" ref="P147">IF(C147="","",IF(OR(O147="",O147=0),"-",O147))</f>
        <v/>
      </c>
      <c r="Q147" s="19">
</c>
      <c r="R147" s="9" cm="1" t="str">
        <f t="array" ref="R147">IF(C147="","",ROUND(Q147/1000000,3)&amp;" M€")</f>
        <v/>
      </c>
      <c r="S147" s="20">
</c>
      <c r="T147" s="9" cm="1" t="str">
        <f t="array" ref="T147">IF(C147="","",SUBSTITUTE(S147,"","")&amp;"%")</f>
        <v/>
      </c>
      <c r="U147" s="11" cm="1" t="str">
        <f t="array" ref="U147">IF(($N147="")*($P147=""),"",IF(($N147&lt;&gt;"")*($N147&gt;TODAY()-9)*($N147&lt;TODAY()+1)*($P147&lt;&gt;"")*($P147&gt;=TODAY())*($P147&lt;=TODAY()+13),"Semaine passée &amp; à venir",IF(($N147&lt;&gt;"")*($N147&gt;TODAY()-9)*($N147&lt;TODAY()+1),"Semaine passée",IF(($P147&lt;&gt;"")*($P147&gt;=TODAY())*($P147&lt;=TODAY()+13),"À venir","Autre"))))</f>
        <v/>
      </c>
      <c r="V147" cm="1" t="n">
        <f t="array" ref="V147">IF(C147&lt;&gt;"",1,0)</f>
        <v>0</v>
      </c>
    </row>
    <row r="148" ht="78.75" customHeight="1">
      <c r="A148" s="16">
</c>
      <c r="B148" s="12">
</c>
      <c r="C148" s="10">
</c>
      <c r="D148" s="17">
</c>
      <c r="E148" s="12">
</c>
      <c r="F148" s="12">
</c>
      <c r="G148" s="11" cm="1" t="str">
        <f t="array" ref="G148">IF(F148="","",SUBSTITUTE(SUBSTITUTE(SUBSTITUTE(SUBSTITUTE(F148,"&lt;li&gt;",CHAR(10)),"&lt;/li&gt;",""),"&lt;br&gt;",CHAR(10)),"&lt;strong&gt;",""))</f>
        <v/>
      </c>
      <c r="H148" s="11" cm="1" t="str">
        <f t="array" ref="H148">IF(G148="","",SUBSTITUTE(SUBSTITUTE(SUBSTITUTE(SUBSTITUTE(SUBSTITUTE(G148,"&lt;p&gt;",""),"&lt;/p&gt;",""),"&lt;ul&gt;",""),"&lt;/ul&gt;",""),"&lt;/strong&gt;",""))</f>
        <v/>
      </c>
      <c r="I148" s="11" cm="1" t="str">
        <f t="array" ref="I148">IF(C148="","",IF(OR(H148="",H148=0,H148=FALSE),"-",H148))</f>
        <v/>
      </c>
      <c r="J148" s="12">
</c>
      <c r="K148" s="12">
</c>
      <c r="L148" s="9" cm="1" t="str">
        <f t="array" ref="L148">IF(C148="","",IF(K148="Mort / Plus rien à faire","KO","OK"))</f>
        <v/>
      </c>
      <c r="M148" s="18">
</c>
      <c r="N148" s="13" cm="1" t="str">
        <f t="array" ref="N148">IF(OR(C148="",M148="",M148=0),"",M148)</f>
        <v/>
      </c>
      <c r="O148" s="18">
</c>
      <c r="P148" s="13" cm="1" t="str">
        <f t="array" ref="P148">IF(C148="","",IF(OR(O148="",O148=0),"-",O148))</f>
        <v/>
      </c>
      <c r="Q148" s="19">
</c>
      <c r="R148" s="9" cm="1" t="str">
        <f t="array" ref="R148">IF(C148="","",ROUND(Q148/1000000,3)&amp;" M€")</f>
        <v/>
      </c>
      <c r="S148" s="20">
</c>
      <c r="T148" s="9" cm="1" t="str">
        <f t="array" ref="T148">IF(C148="","",SUBSTITUTE(S148,"","")&amp;"%")</f>
        <v/>
      </c>
      <c r="U148" s="11" cm="1" t="str">
        <f t="array" ref="U148">IF(($N148="")*($P148=""),"",IF(($N148&lt;&gt;"")*($N148&gt;TODAY()-9)*($N148&lt;TODAY()+1)*($P148&lt;&gt;"")*($P148&gt;=TODAY())*($P148&lt;=TODAY()+13),"Semaine passée &amp; à venir",IF(($N148&lt;&gt;"")*($N148&gt;TODAY()-9)*($N148&lt;TODAY()+1),"Semaine passée",IF(($P148&lt;&gt;"")*($P148&gt;=TODAY())*($P148&lt;=TODAY()+13),"À venir","Autre"))))</f>
        <v/>
      </c>
      <c r="V148" cm="1" t="n">
        <f t="array" ref="V148">IF(C148&lt;&gt;"",1,0)</f>
        <v>0</v>
      </c>
    </row>
    <row r="149" ht="78.75" customHeight="1">
      <c r="A149" s="16">
</c>
      <c r="B149" s="12">
</c>
      <c r="C149" s="10">
</c>
      <c r="D149" s="17">
</c>
      <c r="E149" s="12">
</c>
      <c r="F149" s="12">
</c>
      <c r="G149" s="11" cm="1" t="str">
        <f t="array" ref="G149">IF(F149="","",SUBSTITUTE(SUBSTITUTE(SUBSTITUTE(SUBSTITUTE(F149,"&lt;li&gt;",CHAR(10)),"&lt;/li&gt;",""),"&lt;br&gt;",CHAR(10)),"&lt;strong&gt;",""))</f>
        <v/>
      </c>
      <c r="H149" s="11" cm="1" t="str">
        <f t="array" ref="H149">IF(G149="","",SUBSTITUTE(SUBSTITUTE(SUBSTITUTE(SUBSTITUTE(SUBSTITUTE(G149,"&lt;p&gt;",""),"&lt;/p&gt;",""),"&lt;ul&gt;",""),"&lt;/ul&gt;",""),"&lt;/strong&gt;",""))</f>
        <v/>
      </c>
      <c r="I149" s="11" cm="1" t="str">
        <f t="array" ref="I149">IF(C149="","",IF(OR(H149="",H149=0,H149=FALSE),"-",H149))</f>
        <v/>
      </c>
      <c r="J149" s="12">
</c>
      <c r="K149" s="12">
</c>
      <c r="L149" s="9" cm="1" t="str">
        <f t="array" ref="L149">IF(C149="","",IF(K149="Mort / Plus rien à faire","KO","OK"))</f>
        <v/>
      </c>
      <c r="M149" s="18">
</c>
      <c r="N149" s="13" cm="1" t="str">
        <f t="array" ref="N149">IF(OR(C149="",M149="",M149=0),"",M149)</f>
        <v/>
      </c>
      <c r="O149" s="18">
</c>
      <c r="P149" s="13" cm="1" t="str">
        <f t="array" ref="P149">IF(C149="","",IF(OR(O149="",O149=0),"-",O149))</f>
        <v/>
      </c>
      <c r="Q149" s="19">
</c>
      <c r="R149" s="9" cm="1" t="str">
        <f t="array" ref="R149">IF(C149="","",ROUND(Q149/1000000,3)&amp;" M€")</f>
        <v/>
      </c>
      <c r="S149" s="20">
</c>
      <c r="T149" s="9" cm="1" t="str">
        <f t="array" ref="T149">IF(C149="","",SUBSTITUTE(S149,"","")&amp;"%")</f>
        <v/>
      </c>
      <c r="U149" s="11" cm="1" t="str">
        <f t="array" ref="U149">IF(($N149="")*($P149=""),"",IF(($N149&lt;&gt;"")*($N149&gt;TODAY()-9)*($N149&lt;TODAY()+1)*($P149&lt;&gt;"")*($P149&gt;=TODAY())*($P149&lt;=TODAY()+13),"Semaine passée &amp; à venir",IF(($N149&lt;&gt;"")*($N149&gt;TODAY()-9)*($N149&lt;TODAY()+1),"Semaine passée",IF(($P149&lt;&gt;"")*($P149&gt;=TODAY())*($P149&lt;=TODAY()+13),"À venir","Autre"))))</f>
        <v/>
      </c>
      <c r="V149" cm="1" t="n">
        <f t="array" ref="V149">IF(C149&lt;&gt;"",1,0)</f>
        <v>0</v>
      </c>
    </row>
    <row r="150" ht="78.75" customHeight="1">
      <c r="A150" s="16">
</c>
      <c r="B150" s="12">
</c>
      <c r="C150" s="10">
</c>
      <c r="D150" s="17">
</c>
      <c r="E150" s="12">
</c>
      <c r="F150" s="12">
</c>
      <c r="G150" s="11" cm="1" t="str">
        <f t="array" ref="G150">IF(F150="","",SUBSTITUTE(SUBSTITUTE(SUBSTITUTE(SUBSTITUTE(F150,"&lt;li&gt;",CHAR(10)),"&lt;/li&gt;",""),"&lt;br&gt;",CHAR(10)),"&lt;strong&gt;",""))</f>
        <v/>
      </c>
      <c r="H150" s="11" cm="1" t="str">
        <f t="array" ref="H150">IF(G150="","",SUBSTITUTE(SUBSTITUTE(SUBSTITUTE(SUBSTITUTE(SUBSTITUTE(G150,"&lt;p&gt;",""),"&lt;/p&gt;",""),"&lt;ul&gt;",""),"&lt;/ul&gt;",""),"&lt;/strong&gt;",""))</f>
        <v/>
      </c>
      <c r="I150" s="11" cm="1" t="str">
        <f t="array" ref="I150">IF(C150="","",IF(OR(H150="",H150=0,H150=FALSE),"-",H150))</f>
        <v/>
      </c>
      <c r="J150" s="12">
</c>
      <c r="K150" s="12">
</c>
      <c r="L150" s="9" cm="1" t="str">
        <f t="array" ref="L150">IF(C150="","",IF(K150="Mort / Plus rien à faire","KO","OK"))</f>
        <v/>
      </c>
      <c r="M150" s="18">
</c>
      <c r="N150" s="13" cm="1" t="str">
        <f t="array" ref="N150">IF(OR(C150="",M150="",M150=0),"",M150)</f>
        <v/>
      </c>
      <c r="O150" s="18">
</c>
      <c r="P150" s="13" cm="1" t="str">
        <f t="array" ref="P150">IF(C150="","",IF(OR(O150="",O150=0),"-",O150))</f>
        <v/>
      </c>
      <c r="Q150" s="19">
</c>
      <c r="R150" s="9" cm="1" t="str">
        <f t="array" ref="R150">IF(C150="","",ROUND(Q150/1000000,3)&amp;" M€")</f>
        <v/>
      </c>
      <c r="S150" s="20">
</c>
      <c r="T150" s="9" cm="1" t="str">
        <f t="array" ref="T150">IF(C150="","",SUBSTITUTE(S150,"","")&amp;"%")</f>
        <v/>
      </c>
      <c r="U150" s="11" cm="1" t="str">
        <f t="array" ref="U150">IF(($N150="")*($P150=""),"",IF(($N150&lt;&gt;"")*($N150&gt;TODAY()-9)*($N150&lt;TODAY()+1)*($P150&lt;&gt;"")*($P150&gt;=TODAY())*($P150&lt;=TODAY()+13),"Semaine passée &amp; à venir",IF(($N150&lt;&gt;"")*($N150&gt;TODAY()-9)*($N150&lt;TODAY()+1),"Semaine passée",IF(($P150&lt;&gt;"")*($P150&gt;=TODAY())*($P150&lt;=TODAY()+13),"À venir","Autre"))))</f>
        <v/>
      </c>
      <c r="V150" cm="1" t="n">
        <f t="array" ref="V150">IF(C150&lt;&gt;"",1,0)</f>
        <v>0</v>
      </c>
    </row>
    <row r="151" ht="78.75" customHeight="1">
      <c r="A151" s="16">
</c>
      <c r="B151" s="12">
</c>
      <c r="C151" s="10">
</c>
      <c r="D151" s="17">
</c>
      <c r="E151" s="12">
</c>
      <c r="F151" s="12">
</c>
      <c r="G151" s="11" cm="1" t="str">
        <f t="array" ref="G151">IF(F151="","",SUBSTITUTE(SUBSTITUTE(SUBSTITUTE(SUBSTITUTE(F151,"&lt;li&gt;",CHAR(10)),"&lt;/li&gt;",""),"&lt;br&gt;",CHAR(10)),"&lt;strong&gt;",""))</f>
        <v/>
      </c>
      <c r="H151" s="11" cm="1" t="str">
        <f t="array" ref="H151">IF(G151="","",SUBSTITUTE(SUBSTITUTE(SUBSTITUTE(SUBSTITUTE(SUBSTITUTE(G151,"&lt;p&gt;",""),"&lt;/p&gt;",""),"&lt;ul&gt;",""),"&lt;/ul&gt;",""),"&lt;/strong&gt;",""))</f>
        <v/>
      </c>
      <c r="I151" s="11" cm="1" t="str">
        <f t="array" ref="I151">IF(C151="","",IF(OR(H151="",H151=0,H151=FALSE),"-",H151))</f>
        <v/>
      </c>
      <c r="J151" s="12">
</c>
      <c r="K151" s="12">
</c>
      <c r="L151" s="9" cm="1" t="str">
        <f t="array" ref="L151">IF(C151="","",IF(K151="Mort / Plus rien à faire","KO","OK"))</f>
        <v/>
      </c>
      <c r="M151" s="18">
</c>
      <c r="N151" s="13" cm="1" t="str">
        <f t="array" ref="N151">IF(OR(C151="",M151="",M151=0),"",M151)</f>
        <v/>
      </c>
      <c r="O151" s="18">
</c>
      <c r="P151" s="13" cm="1" t="str">
        <f t="array" ref="P151">IF(C151="","",IF(OR(O151="",O151=0),"-",O151))</f>
        <v/>
      </c>
      <c r="Q151" s="19">
</c>
      <c r="R151" s="9" cm="1" t="str">
        <f t="array" ref="R151">IF(C151="","",ROUND(Q151/1000000,3)&amp;" M€")</f>
        <v/>
      </c>
      <c r="S151" s="20">
</c>
      <c r="T151" s="9" cm="1" t="str">
        <f t="array" ref="T151">IF(C151="","",SUBSTITUTE(S151,"","")&amp;"%")</f>
        <v/>
      </c>
      <c r="U151" s="11" cm="1" t="str">
        <f t="array" ref="U151">IF(($N151="")*($P151=""),"",IF(($N151&lt;&gt;"")*($N151&gt;TODAY()-9)*($N151&lt;TODAY()+1)*($P151&lt;&gt;"")*($P151&gt;=TODAY())*($P151&lt;=TODAY()+13),"Semaine passée &amp; à venir",IF(($N151&lt;&gt;"")*($N151&gt;TODAY()-9)*($N151&lt;TODAY()+1),"Semaine passée",IF(($P151&lt;&gt;"")*($P151&gt;=TODAY())*($P151&lt;=TODAY()+13),"À venir","Autre"))))</f>
        <v/>
      </c>
      <c r="V151" cm="1" t="n">
        <f t="array" ref="V151">IF(C151&lt;&gt;"",1,0)</f>
        <v>0</v>
      </c>
    </row>
    <row r="152" ht="78.75" customHeight="1">
      <c r="A152" s="16">
</c>
      <c r="B152" s="12">
</c>
      <c r="C152" s="10">
</c>
      <c r="D152" s="17">
</c>
      <c r="E152" s="12">
</c>
      <c r="F152" s="12">
</c>
      <c r="G152" s="11" cm="1" t="str">
        <f t="array" ref="G152">IF(F152="","",SUBSTITUTE(SUBSTITUTE(SUBSTITUTE(SUBSTITUTE(F152,"&lt;li&gt;",CHAR(10)),"&lt;/li&gt;",""),"&lt;br&gt;",CHAR(10)),"&lt;strong&gt;",""))</f>
        <v/>
      </c>
      <c r="H152" s="11" cm="1" t="str">
        <f t="array" ref="H152">IF(G152="","",SUBSTITUTE(SUBSTITUTE(SUBSTITUTE(SUBSTITUTE(SUBSTITUTE(G152,"&lt;p&gt;",""),"&lt;/p&gt;",""),"&lt;ul&gt;",""),"&lt;/ul&gt;",""),"&lt;/strong&gt;",""))</f>
        <v/>
      </c>
      <c r="I152" s="11" cm="1" t="str">
        <f t="array" ref="I152">IF(C152="","",IF(OR(H152="",H152=0,H152=FALSE),"-",H152))</f>
        <v/>
      </c>
      <c r="J152" s="12">
</c>
      <c r="K152" s="12">
</c>
      <c r="L152" s="9" cm="1" t="str">
        <f t="array" ref="L152">IF(C152="","",IF(K152="Mort / Plus rien à faire","KO","OK"))</f>
        <v/>
      </c>
      <c r="M152" s="18">
</c>
      <c r="N152" s="13" cm="1" t="str">
        <f t="array" ref="N152">IF(OR(C152="",M152="",M152=0),"",M152)</f>
        <v/>
      </c>
      <c r="O152" s="18">
</c>
      <c r="P152" s="13" cm="1" t="str">
        <f t="array" ref="P152">IF(C152="","",IF(OR(O152="",O152=0),"-",O152))</f>
        <v/>
      </c>
      <c r="Q152" s="19">
</c>
      <c r="R152" s="9" cm="1" t="str">
        <f t="array" ref="R152">IF(C152="","",ROUND(Q152/1000000,3)&amp;" M€")</f>
        <v/>
      </c>
      <c r="S152" s="20">
</c>
      <c r="T152" s="9" cm="1" t="str">
        <f t="array" ref="T152">IF(C152="","",SUBSTITUTE(S152,"","")&amp;"%")</f>
        <v/>
      </c>
      <c r="U152" s="11" cm="1" t="str">
        <f t="array" ref="U152">IF(($N152="")*($P152=""),"",IF(($N152&lt;&gt;"")*($N152&gt;TODAY()-9)*($N152&lt;TODAY()+1)*($P152&lt;&gt;"")*($P152&gt;=TODAY())*($P152&lt;=TODAY()+13),"Semaine passée &amp; à venir",IF(($N152&lt;&gt;"")*($N152&gt;TODAY()-9)*($N152&lt;TODAY()+1),"Semaine passée",IF(($P152&lt;&gt;"")*($P152&gt;=TODAY())*($P152&lt;=TODAY()+13),"À venir","Autre"))))</f>
        <v/>
      </c>
      <c r="V152" cm="1" t="n">
        <f t="array" ref="V152">IF(C152&lt;&gt;"",1,0)</f>
        <v>0</v>
      </c>
    </row>
    <row r="153" ht="78.75" customHeight="1">
      <c r="A153" s="16">
</c>
      <c r="B153" s="12">
</c>
      <c r="C153" s="10">
</c>
      <c r="D153" s="17">
</c>
      <c r="E153" s="12">
</c>
      <c r="F153" s="12">
</c>
      <c r="G153" s="11" cm="1" t="str">
        <f t="array" ref="G153">IF(F153="","",SUBSTITUTE(SUBSTITUTE(SUBSTITUTE(SUBSTITUTE(F153,"&lt;li&gt;",CHAR(10)),"&lt;/li&gt;",""),"&lt;br&gt;",CHAR(10)),"&lt;strong&gt;",""))</f>
        <v/>
      </c>
      <c r="H153" s="11" cm="1" t="str">
        <f t="array" ref="H153">IF(G153="","",SUBSTITUTE(SUBSTITUTE(SUBSTITUTE(SUBSTITUTE(SUBSTITUTE(G153,"&lt;p&gt;",""),"&lt;/p&gt;",""),"&lt;ul&gt;",""),"&lt;/ul&gt;",""),"&lt;/strong&gt;",""))</f>
        <v/>
      </c>
      <c r="I153" s="11" cm="1" t="str">
        <f t="array" ref="I153">IF(C153="","",IF(OR(H153="",H153=0,H153=FALSE),"-",H153))</f>
        <v/>
      </c>
      <c r="J153" s="12">
</c>
      <c r="K153" s="12">
</c>
      <c r="L153" s="9" cm="1" t="str">
        <f t="array" ref="L153">IF(C153="","",IF(K153="Mort / Plus rien à faire","KO","OK"))</f>
        <v/>
      </c>
      <c r="M153" s="18">
</c>
      <c r="N153" s="13" cm="1" t="str">
        <f t="array" ref="N153">IF(OR(C153="",M153="",M153=0),"",M153)</f>
        <v/>
      </c>
      <c r="O153" s="18">
</c>
      <c r="P153" s="13" cm="1" t="str">
        <f t="array" ref="P153">IF(C153="","",IF(OR(O153="",O153=0),"-",O153))</f>
        <v/>
      </c>
      <c r="Q153" s="19">
</c>
      <c r="R153" s="9" cm="1" t="str">
        <f t="array" ref="R153">IF(C153="","",ROUND(Q153/1000000,3)&amp;" M€")</f>
        <v/>
      </c>
      <c r="S153" s="20">
</c>
      <c r="T153" s="9" cm="1" t="str">
        <f t="array" ref="T153">IF(C153="","",SUBSTITUTE(S153,"","")&amp;"%")</f>
        <v/>
      </c>
      <c r="U153" s="11" cm="1" t="str">
        <f t="array" ref="U153">IF(($N153="")*($P153=""),"",IF(($N153&lt;&gt;"")*($N153&gt;TODAY()-9)*($N153&lt;TODAY()+1)*($P153&lt;&gt;"")*($P153&gt;=TODAY())*($P153&lt;=TODAY()+13),"Semaine passée &amp; à venir",IF(($N153&lt;&gt;"")*($N153&gt;TODAY()-9)*($N153&lt;TODAY()+1),"Semaine passée",IF(($P153&lt;&gt;"")*($P153&gt;=TODAY())*($P153&lt;=TODAY()+13),"À venir","Autre"))))</f>
        <v/>
      </c>
      <c r="V153" cm="1" t="n">
        <f t="array" ref="V153">IF(C153&lt;&gt;"",1,0)</f>
        <v>0</v>
      </c>
    </row>
    <row r="154" ht="78.75" customHeight="1">
      <c r="A154" s="16">
</c>
      <c r="B154" s="12">
</c>
      <c r="C154" s="10">
</c>
      <c r="D154" s="17">
</c>
      <c r="E154" s="12">
</c>
      <c r="F154" s="12">
</c>
      <c r="G154" s="11" cm="1" t="str">
        <f t="array" ref="G154">IF(F154="","",SUBSTITUTE(SUBSTITUTE(SUBSTITUTE(SUBSTITUTE(F154,"&lt;li&gt;",CHAR(10)),"&lt;/li&gt;",""),"&lt;br&gt;",CHAR(10)),"&lt;strong&gt;",""))</f>
        <v/>
      </c>
      <c r="H154" s="11" cm="1" t="str">
        <f t="array" ref="H154">IF(G154="","",SUBSTITUTE(SUBSTITUTE(SUBSTITUTE(SUBSTITUTE(SUBSTITUTE(G154,"&lt;p&gt;",""),"&lt;/p&gt;",""),"&lt;ul&gt;",""),"&lt;/ul&gt;",""),"&lt;/strong&gt;",""))</f>
        <v/>
      </c>
      <c r="I154" s="11" cm="1" t="str">
        <f t="array" ref="I154">IF(C154="","",IF(OR(H154="",H154=0,H154=FALSE),"-",H154))</f>
        <v/>
      </c>
      <c r="J154" s="12">
</c>
      <c r="K154" s="12">
</c>
      <c r="L154" s="9" cm="1" t="str">
        <f t="array" ref="L154">IF(C154="","",IF(K154="Mort / Plus rien à faire","KO","OK"))</f>
        <v/>
      </c>
      <c r="M154" s="18">
</c>
      <c r="N154" s="13" cm="1" t="str">
        <f t="array" ref="N154">IF(OR(C154="",M154="",M154=0),"",M154)</f>
        <v/>
      </c>
      <c r="O154" s="18">
</c>
      <c r="P154" s="13" cm="1" t="str">
        <f t="array" ref="P154">IF(C154="","",IF(OR(O154="",O154=0),"-",O154))</f>
        <v/>
      </c>
      <c r="Q154" s="19">
</c>
      <c r="R154" s="9" cm="1" t="str">
        <f t="array" ref="R154">IF(C154="","",ROUND(Q154/1000000,3)&amp;" M€")</f>
        <v/>
      </c>
      <c r="S154" s="20">
</c>
      <c r="T154" s="9" cm="1" t="str">
        <f t="array" ref="T154">IF(C154="","",SUBSTITUTE(S154,"","")&amp;"%")</f>
        <v/>
      </c>
      <c r="U154" s="11" cm="1" t="str">
        <f t="array" ref="U154">IF(($N154="")*($P154=""),"",IF(($N154&lt;&gt;"")*($N154&gt;TODAY()-9)*($N154&lt;TODAY()+1)*($P154&lt;&gt;"")*($P154&gt;=TODAY())*($P154&lt;=TODAY()+13),"Semaine passée &amp; à venir",IF(($N154&lt;&gt;"")*($N154&gt;TODAY()-9)*($N154&lt;TODAY()+1),"Semaine passée",IF(($P154&lt;&gt;"")*($P154&gt;=TODAY())*($P154&lt;=TODAY()+13),"À venir","Autre"))))</f>
        <v/>
      </c>
      <c r="V154" cm="1" t="n">
        <f t="array" ref="V154">IF(C154&lt;&gt;"",1,0)</f>
        <v>0</v>
      </c>
    </row>
    <row r="155" ht="78.75" customHeight="1">
      <c r="A155" s="16">
</c>
      <c r="B155" s="12">
</c>
      <c r="C155" s="10">
</c>
      <c r="D155" s="17">
</c>
      <c r="E155" s="12">
</c>
      <c r="F155" s="12">
</c>
      <c r="G155" s="11" cm="1" t="str">
        <f t="array" ref="G155">IF(F155="","",SUBSTITUTE(SUBSTITUTE(SUBSTITUTE(SUBSTITUTE(F155,"&lt;li&gt;",CHAR(10)),"&lt;/li&gt;",""),"&lt;br&gt;",CHAR(10)),"&lt;strong&gt;",""))</f>
        <v/>
      </c>
      <c r="H155" s="11" cm="1" t="str">
        <f t="array" ref="H155">IF(G155="","",SUBSTITUTE(SUBSTITUTE(SUBSTITUTE(SUBSTITUTE(SUBSTITUTE(G155,"&lt;p&gt;",""),"&lt;/p&gt;",""),"&lt;ul&gt;",""),"&lt;/ul&gt;",""),"&lt;/strong&gt;",""))</f>
        <v/>
      </c>
      <c r="I155" s="11" cm="1" t="str">
        <f t="array" ref="I155">IF(C155="","",IF(OR(H155="",H155=0,H155=FALSE),"-",H155))</f>
        <v/>
      </c>
      <c r="J155" s="12">
</c>
      <c r="K155" s="12">
</c>
      <c r="L155" s="9" cm="1" t="str">
        <f t="array" ref="L155">IF(C155="","",IF(K155="Mort / Plus rien à faire","KO","OK"))</f>
        <v/>
      </c>
      <c r="M155" s="18">
</c>
      <c r="N155" s="13" cm="1" t="str">
        <f t="array" ref="N155">IF(OR(C155="",M155="",M155=0),"",M155)</f>
        <v/>
      </c>
      <c r="O155" s="18">
</c>
      <c r="P155" s="13" cm="1" t="str">
        <f t="array" ref="P155">IF(C155="","",IF(OR(O155="",O155=0),"-",O155))</f>
        <v/>
      </c>
      <c r="Q155" s="19">
</c>
      <c r="R155" s="9" cm="1" t="str">
        <f t="array" ref="R155">IF(C155="","",ROUND(Q155/1000000,3)&amp;" M€")</f>
        <v/>
      </c>
      <c r="S155" s="20">
</c>
      <c r="T155" s="9" cm="1" t="str">
        <f t="array" ref="T155">IF(C155="","",SUBSTITUTE(S155,"","")&amp;"%")</f>
        <v/>
      </c>
      <c r="U155" s="11" cm="1" t="str">
        <f t="array" ref="U155">IF(($N155="")*($P155=""),"",IF(($N155&lt;&gt;"")*($N155&gt;TODAY()-9)*($N155&lt;TODAY()+1)*($P155&lt;&gt;"")*($P155&gt;=TODAY())*($P155&lt;=TODAY()+13),"Semaine passée &amp; à venir",IF(($N155&lt;&gt;"")*($N155&gt;TODAY()-9)*($N155&lt;TODAY()+1),"Semaine passée",IF(($P155&lt;&gt;"")*($P155&gt;=TODAY())*($P155&lt;=TODAY()+13),"À venir","Autre"))))</f>
        <v/>
      </c>
      <c r="V155" cm="1" t="n">
        <f t="array" ref="V155">IF(C155&lt;&gt;"",1,0)</f>
        <v>0</v>
      </c>
    </row>
    <row r="156" ht="78.75" customHeight="1">
      <c r="A156" s="16">
</c>
      <c r="B156" s="12">
</c>
      <c r="C156" s="10">
</c>
      <c r="D156" s="17">
</c>
      <c r="E156" s="12">
</c>
      <c r="F156" s="12">
</c>
      <c r="G156" s="11" cm="1" t="str">
        <f t="array" ref="G156">IF(F156="","",SUBSTITUTE(SUBSTITUTE(SUBSTITUTE(SUBSTITUTE(F156,"&lt;li&gt;",CHAR(10)),"&lt;/li&gt;",""),"&lt;br&gt;",CHAR(10)),"&lt;strong&gt;",""))</f>
        <v/>
      </c>
      <c r="H156" s="11" cm="1" t="str">
        <f t="array" ref="H156">IF(G156="","",SUBSTITUTE(SUBSTITUTE(SUBSTITUTE(SUBSTITUTE(SUBSTITUTE(G156,"&lt;p&gt;",""),"&lt;/p&gt;",""),"&lt;ul&gt;",""),"&lt;/ul&gt;",""),"&lt;/strong&gt;",""))</f>
        <v/>
      </c>
      <c r="I156" s="11" cm="1" t="str">
        <f t="array" ref="I156">IF(C156="","",IF(OR(H156="",H156=0,H156=FALSE),"-",H156))</f>
        <v/>
      </c>
      <c r="J156" s="12">
</c>
      <c r="K156" s="12">
</c>
      <c r="L156" s="9" cm="1" t="str">
        <f t="array" ref="L156">IF(C156="","",IF(K156="Mort / Plus rien à faire","KO","OK"))</f>
        <v/>
      </c>
      <c r="M156" s="18">
</c>
      <c r="N156" s="13" cm="1" t="str">
        <f t="array" ref="N156">IF(OR(C156="",M156="",M156=0),"",M156)</f>
        <v/>
      </c>
      <c r="O156" s="18">
</c>
      <c r="P156" s="13" cm="1" t="str">
        <f t="array" ref="P156">IF(C156="","",IF(OR(O156="",O156=0),"-",O156))</f>
        <v/>
      </c>
      <c r="Q156" s="19">
</c>
      <c r="R156" s="9" cm="1" t="str">
        <f t="array" ref="R156">IF(C156="","",ROUND(Q156/1000000,3)&amp;" M€")</f>
        <v/>
      </c>
      <c r="S156" s="20">
</c>
      <c r="T156" s="9" cm="1" t="str">
        <f t="array" ref="T156">IF(C156="","",SUBSTITUTE(S156,"","")&amp;"%")</f>
        <v/>
      </c>
      <c r="U156" s="11" cm="1" t="str">
        <f t="array" ref="U156">IF(($N156="")*($P156=""),"",IF(($N156&lt;&gt;"")*($N156&gt;TODAY()-9)*($N156&lt;TODAY()+1)*($P156&lt;&gt;"")*($P156&gt;=TODAY())*($P156&lt;=TODAY()+13),"Semaine passée &amp; à venir",IF(($N156&lt;&gt;"")*($N156&gt;TODAY()-9)*($N156&lt;TODAY()+1),"Semaine passée",IF(($P156&lt;&gt;"")*($P156&gt;=TODAY())*($P156&lt;=TODAY()+13),"À venir","Autre"))))</f>
        <v/>
      </c>
      <c r="V156" cm="1" t="n">
        <f t="array" ref="V156">IF(C156&lt;&gt;"",1,0)</f>
        <v>0</v>
      </c>
    </row>
    <row r="157" ht="78.75" customHeight="1">
      <c r="A157" s="16">
</c>
      <c r="B157" s="12">
</c>
      <c r="C157" s="10">
</c>
      <c r="D157" s="17">
</c>
      <c r="E157" s="12">
</c>
      <c r="F157" s="12">
</c>
      <c r="G157" s="11" cm="1" t="str">
        <f t="array" ref="G157">IF(F157="","",SUBSTITUTE(SUBSTITUTE(SUBSTITUTE(SUBSTITUTE(F157,"&lt;li&gt;",CHAR(10)),"&lt;/li&gt;",""),"&lt;br&gt;",CHAR(10)),"&lt;strong&gt;",""))</f>
        <v/>
      </c>
      <c r="H157" s="11" cm="1" t="str">
        <f t="array" ref="H157">IF(G157="","",SUBSTITUTE(SUBSTITUTE(SUBSTITUTE(SUBSTITUTE(SUBSTITUTE(G157,"&lt;p&gt;",""),"&lt;/p&gt;",""),"&lt;ul&gt;",""),"&lt;/ul&gt;",""),"&lt;/strong&gt;",""))</f>
        <v/>
      </c>
      <c r="I157" s="11" cm="1" t="str">
        <f t="array" ref="I157">IF(C157="","",IF(OR(H157="",H157=0,H157=FALSE),"-",H157))</f>
        <v/>
      </c>
      <c r="J157" s="12">
</c>
      <c r="K157" s="12">
</c>
      <c r="L157" s="9" cm="1" t="str">
        <f t="array" ref="L157">IF(C157="","",IF(K157="Mort / Plus rien à faire","KO","OK"))</f>
        <v/>
      </c>
      <c r="M157" s="18">
</c>
      <c r="N157" s="13" cm="1" t="str">
        <f t="array" ref="N157">IF(OR(C157="",M157="",M157=0),"",M157)</f>
        <v/>
      </c>
      <c r="O157" s="18">
</c>
      <c r="P157" s="13" cm="1" t="str">
        <f t="array" ref="P157">IF(C157="","",IF(OR(O157="",O157=0),"-",O157))</f>
        <v/>
      </c>
      <c r="Q157" s="19">
</c>
      <c r="R157" s="9" cm="1" t="str">
        <f t="array" ref="R157">IF(C157="","",ROUND(Q157/1000000,3)&amp;" M€")</f>
        <v/>
      </c>
      <c r="S157" s="20">
</c>
      <c r="T157" s="9" cm="1" t="str">
        <f t="array" ref="T157">IF(C157="","",SUBSTITUTE(S157,"","")&amp;"%")</f>
        <v/>
      </c>
      <c r="U157" s="11" cm="1" t="str">
        <f t="array" ref="U157">IF(($N157="")*($P157=""),"",IF(($N157&lt;&gt;"")*($N157&gt;TODAY()-9)*($N157&lt;TODAY()+1)*($P157&lt;&gt;"")*($P157&gt;=TODAY())*($P157&lt;=TODAY()+13),"Semaine passée &amp; à venir",IF(($N157&lt;&gt;"")*($N157&gt;TODAY()-9)*($N157&lt;TODAY()+1),"Semaine passée",IF(($P157&lt;&gt;"")*($P157&gt;=TODAY())*($P157&lt;=TODAY()+13),"À venir","Autre"))))</f>
        <v/>
      </c>
      <c r="V157" cm="1" t="n">
        <f t="array" ref="V157">IF(C157&lt;&gt;"",1,0)</f>
        <v>0</v>
      </c>
    </row>
    <row r="158" ht="78.75" customHeight="1">
      <c r="A158" s="16">
</c>
      <c r="B158" s="12">
</c>
      <c r="C158" s="10">
</c>
      <c r="D158" s="17">
</c>
      <c r="E158" s="12">
</c>
      <c r="F158" s="12">
</c>
      <c r="G158" s="11" cm="1" t="str">
        <f t="array" ref="G158">IF(F158="","",SUBSTITUTE(SUBSTITUTE(SUBSTITUTE(SUBSTITUTE(F158,"&lt;li&gt;",CHAR(10)),"&lt;/li&gt;",""),"&lt;br&gt;",CHAR(10)),"&lt;strong&gt;",""))</f>
        <v/>
      </c>
      <c r="H158" s="11" cm="1" t="str">
        <f t="array" ref="H158">IF(G158="","",SUBSTITUTE(SUBSTITUTE(SUBSTITUTE(SUBSTITUTE(SUBSTITUTE(G158,"&lt;p&gt;",""),"&lt;/p&gt;",""),"&lt;ul&gt;",""),"&lt;/ul&gt;",""),"&lt;/strong&gt;",""))</f>
        <v/>
      </c>
      <c r="I158" s="11" cm="1" t="str">
        <f t="array" ref="I158">IF(C158="","",IF(OR(H158="",H158=0,H158=FALSE),"-",H158))</f>
        <v/>
      </c>
      <c r="J158" s="12">
</c>
      <c r="K158" s="12">
</c>
      <c r="L158" s="9" cm="1" t="str">
        <f t="array" ref="L158">IF(C158="","",IF(K158="Mort / Plus rien à faire","KO","OK"))</f>
        <v/>
      </c>
      <c r="M158" s="18">
</c>
      <c r="N158" s="13" cm="1" t="str">
        <f t="array" ref="N158">IF(OR(C158="",M158="",M158=0),"",M158)</f>
        <v/>
      </c>
      <c r="O158" s="18">
</c>
      <c r="P158" s="13" cm="1" t="str">
        <f t="array" ref="P158">IF(C158="","",IF(OR(O158="",O158=0),"-",O158))</f>
        <v/>
      </c>
      <c r="Q158" s="19">
</c>
      <c r="R158" s="9" cm="1" t="str">
        <f t="array" ref="R158">IF(C158="","",ROUND(Q158/1000000,3)&amp;" M€")</f>
        <v/>
      </c>
      <c r="S158" s="20">
</c>
      <c r="T158" s="9" cm="1" t="str">
        <f t="array" ref="T158">IF(C158="","",SUBSTITUTE(S158,"","")&amp;"%")</f>
        <v/>
      </c>
      <c r="U158" s="11" cm="1" t="str">
        <f t="array" ref="U158">IF(($N158="")*($P158=""),"",IF(($N158&lt;&gt;"")*($N158&gt;TODAY()-9)*($N158&lt;TODAY()+1)*($P158&lt;&gt;"")*($P158&gt;=TODAY())*($P158&lt;=TODAY()+13),"Semaine passée &amp; à venir",IF(($N158&lt;&gt;"")*($N158&gt;TODAY()-9)*($N158&lt;TODAY()+1),"Semaine passée",IF(($P158&lt;&gt;"")*($P158&gt;=TODAY())*($P158&lt;=TODAY()+13),"À venir","Autre"))))</f>
        <v/>
      </c>
      <c r="V158" cm="1" t="n">
        <f t="array" ref="V158">IF(C158&lt;&gt;"",1,0)</f>
        <v>0</v>
      </c>
    </row>
    <row r="159" ht="78.75" customHeight="1">
      <c r="A159" s="16">
</c>
      <c r="B159" s="12">
</c>
      <c r="C159" s="10">
</c>
      <c r="D159" s="17">
</c>
      <c r="E159" s="12">
</c>
      <c r="F159" s="12">
</c>
      <c r="G159" s="11" cm="1" t="str">
        <f t="array" ref="G159">IF(F159="","",SUBSTITUTE(SUBSTITUTE(SUBSTITUTE(SUBSTITUTE(F159,"&lt;li&gt;",CHAR(10)),"&lt;/li&gt;",""),"&lt;br&gt;",CHAR(10)),"&lt;strong&gt;",""))</f>
        <v/>
      </c>
      <c r="H159" s="11" cm="1" t="str">
        <f t="array" ref="H159">IF(G159="","",SUBSTITUTE(SUBSTITUTE(SUBSTITUTE(SUBSTITUTE(SUBSTITUTE(G159,"&lt;p&gt;",""),"&lt;/p&gt;",""),"&lt;ul&gt;",""),"&lt;/ul&gt;",""),"&lt;/strong&gt;",""))</f>
        <v/>
      </c>
      <c r="I159" s="11" cm="1" t="str">
        <f t="array" ref="I159">IF(C159="","",IF(OR(H159="",H159=0,H159=FALSE),"-",H159))</f>
        <v/>
      </c>
      <c r="J159" s="12">
</c>
      <c r="K159" s="12">
</c>
      <c r="L159" s="9" cm="1" t="str">
        <f t="array" ref="L159">IF(C159="","",IF(K159="Mort / Plus rien à faire","KO","OK"))</f>
        <v/>
      </c>
      <c r="M159" s="18">
</c>
      <c r="N159" s="13" cm="1" t="str">
        <f t="array" ref="N159">IF(OR(C159="",M159="",M159=0),"",M159)</f>
        <v/>
      </c>
      <c r="O159" s="18">
</c>
      <c r="P159" s="13" cm="1" t="str">
        <f t="array" ref="P159">IF(C159="","",IF(OR(O159="",O159=0),"-",O159))</f>
        <v/>
      </c>
      <c r="Q159" s="19">
</c>
      <c r="R159" s="9" cm="1" t="str">
        <f t="array" ref="R159">IF(C159="","",ROUND(Q159/1000000,3)&amp;" M€")</f>
        <v/>
      </c>
      <c r="S159" s="20">
</c>
      <c r="T159" s="9" cm="1" t="str">
        <f t="array" ref="T159">IF(C159="","",SUBSTITUTE(S159,"","")&amp;"%")</f>
        <v/>
      </c>
      <c r="U159" s="11" cm="1" t="str">
        <f t="array" ref="U159">IF(($N159="")*($P159=""),"",IF(($N159&lt;&gt;"")*($N159&gt;TODAY()-9)*($N159&lt;TODAY()+1)*($P159&lt;&gt;"")*($P159&gt;=TODAY())*($P159&lt;=TODAY()+13),"Semaine passée &amp; à venir",IF(($N159&lt;&gt;"")*($N159&gt;TODAY()-9)*($N159&lt;TODAY()+1),"Semaine passée",IF(($P159&lt;&gt;"")*($P159&gt;=TODAY())*($P159&lt;=TODAY()+13),"À venir","Autre"))))</f>
        <v/>
      </c>
      <c r="V159" cm="1" t="n">
        <f t="array" ref="V159">IF(C159&lt;&gt;"",1,0)</f>
        <v>0</v>
      </c>
    </row>
    <row r="160" ht="78.75" customHeight="1">
      <c r="A160" s="16">
</c>
      <c r="B160" s="12">
</c>
      <c r="C160" s="10">
</c>
      <c r="D160" s="17">
</c>
      <c r="E160" s="12">
</c>
      <c r="F160" s="12">
</c>
      <c r="G160" s="11" cm="1" t="str">
        <f t="array" ref="G160">IF(F160="","",SUBSTITUTE(SUBSTITUTE(SUBSTITUTE(SUBSTITUTE(F160,"&lt;li&gt;",CHAR(10)),"&lt;/li&gt;",""),"&lt;br&gt;",CHAR(10)),"&lt;strong&gt;",""))</f>
        <v/>
      </c>
      <c r="H160" s="11" cm="1" t="str">
        <f t="array" ref="H160">IF(G160="","",SUBSTITUTE(SUBSTITUTE(SUBSTITUTE(SUBSTITUTE(SUBSTITUTE(G160,"&lt;p&gt;",""),"&lt;/p&gt;",""),"&lt;ul&gt;",""),"&lt;/ul&gt;",""),"&lt;/strong&gt;",""))</f>
        <v/>
      </c>
      <c r="I160" s="11" cm="1" t="str">
        <f t="array" ref="I160">IF(C160="","",IF(OR(H160="",H160=0,H160=FALSE),"-",H160))</f>
        <v/>
      </c>
      <c r="J160" s="12">
</c>
      <c r="K160" s="12">
</c>
      <c r="L160" s="9" cm="1" t="str">
        <f t="array" ref="L160">IF(C160="","",IF(K160="Mort / Plus rien à faire","KO","OK"))</f>
        <v/>
      </c>
      <c r="M160" s="18">
</c>
      <c r="N160" s="13" cm="1" t="str">
        <f t="array" ref="N160">IF(OR(C160="",M160="",M160=0),"",M160)</f>
        <v/>
      </c>
      <c r="O160" s="18">
</c>
      <c r="P160" s="13" cm="1" t="str">
        <f t="array" ref="P160">IF(C160="","",IF(OR(O160="",O160=0),"-",O160))</f>
        <v/>
      </c>
      <c r="Q160" s="19">
</c>
      <c r="R160" s="9" cm="1" t="str">
        <f t="array" ref="R160">IF(C160="","",ROUND(Q160/1000000,3)&amp;" M€")</f>
        <v/>
      </c>
      <c r="S160" s="20">
</c>
      <c r="T160" s="9" cm="1" t="str">
        <f t="array" ref="T160">IF(C160="","",SUBSTITUTE(S160,"","")&amp;"%")</f>
        <v/>
      </c>
      <c r="U160" s="11" cm="1" t="str">
        <f t="array" ref="U160">IF(($N160="")*($P160=""),"",IF(($N160&lt;&gt;"")*($N160&gt;TODAY()-9)*($N160&lt;TODAY()+1)*($P160&lt;&gt;"")*($P160&gt;=TODAY())*($P160&lt;=TODAY()+13),"Semaine passée &amp; à venir",IF(($N160&lt;&gt;"")*($N160&gt;TODAY()-9)*($N160&lt;TODAY()+1),"Semaine passée",IF(($P160&lt;&gt;"")*($P160&gt;=TODAY())*($P160&lt;=TODAY()+13),"À venir","Autre"))))</f>
        <v/>
      </c>
      <c r="V160" cm="1" t="n">
        <f t="array" ref="V160">IF(C160&lt;&gt;"",1,0)</f>
        <v>0</v>
      </c>
    </row>
    <row r="161" ht="78.75" customHeight="1">
      <c r="A161" s="16">
</c>
      <c r="B161" s="12">
</c>
      <c r="C161" s="10">
</c>
      <c r="D161" s="17">
</c>
      <c r="E161" s="12">
</c>
      <c r="F161" s="12">
</c>
      <c r="G161" s="11" cm="1" t="str">
        <f t="array" ref="G161">IF(F161="","",SUBSTITUTE(SUBSTITUTE(SUBSTITUTE(SUBSTITUTE(F161,"&lt;li&gt;",CHAR(10)),"&lt;/li&gt;",""),"&lt;br&gt;",CHAR(10)),"&lt;strong&gt;",""))</f>
        <v/>
      </c>
      <c r="H161" s="11" cm="1" t="str">
        <f t="array" ref="H161">IF(G161="","",SUBSTITUTE(SUBSTITUTE(SUBSTITUTE(SUBSTITUTE(SUBSTITUTE(G161,"&lt;p&gt;",""),"&lt;/p&gt;",""),"&lt;ul&gt;",""),"&lt;/ul&gt;",""),"&lt;/strong&gt;",""))</f>
        <v/>
      </c>
      <c r="I161" s="11" cm="1" t="str">
        <f t="array" ref="I161">IF(C161="","",IF(OR(H161="",H161=0,H161=FALSE),"-",H161))</f>
        <v/>
      </c>
      <c r="J161" s="12">
</c>
      <c r="K161" s="12">
</c>
      <c r="L161" s="9" cm="1" t="str">
        <f t="array" ref="L161">IF(C161="","",IF(K161="Mort / Plus rien à faire","KO","OK"))</f>
        <v/>
      </c>
      <c r="M161" s="18">
</c>
      <c r="N161" s="13" cm="1" t="str">
        <f t="array" ref="N161">IF(OR(C161="",M161="",M161=0),"",M161)</f>
        <v/>
      </c>
      <c r="O161" s="18">
</c>
      <c r="P161" s="13" cm="1" t="str">
        <f t="array" ref="P161">IF(C161="","",IF(OR(O161="",O161=0),"-",O161))</f>
        <v/>
      </c>
      <c r="Q161" s="19">
</c>
      <c r="R161" s="9" cm="1" t="str">
        <f t="array" ref="R161">IF(C161="","",ROUND(Q161/1000000,3)&amp;" M€")</f>
        <v/>
      </c>
      <c r="S161" s="20">
</c>
      <c r="T161" s="9" cm="1" t="str">
        <f t="array" ref="T161">IF(C161="","",SUBSTITUTE(S161,"","")&amp;"%")</f>
        <v/>
      </c>
      <c r="U161" s="11" cm="1" t="str">
        <f t="array" ref="U161">IF(($N161="")*($P161=""),"",IF(($N161&lt;&gt;"")*($N161&gt;TODAY()-9)*($N161&lt;TODAY()+1)*($P161&lt;&gt;"")*($P161&gt;=TODAY())*($P161&lt;=TODAY()+13),"Semaine passée &amp; à venir",IF(($N161&lt;&gt;"")*($N161&gt;TODAY()-9)*($N161&lt;TODAY()+1),"Semaine passée",IF(($P161&lt;&gt;"")*($P161&gt;=TODAY())*($P161&lt;=TODAY()+13),"À venir","Autre"))))</f>
        <v/>
      </c>
      <c r="V161" cm="1" t="n">
        <f t="array" ref="V161">IF(C161&lt;&gt;"",1,0)</f>
        <v>0</v>
      </c>
    </row>
    <row r="162" ht="78.75" customHeight="1">
      <c r="A162" s="16">
</c>
      <c r="B162" s="12">
</c>
      <c r="C162" s="10">
</c>
      <c r="D162" s="17">
</c>
      <c r="E162" s="12">
</c>
      <c r="F162" s="12">
</c>
      <c r="G162" s="11" cm="1" t="str">
        <f t="array" ref="G162">IF(F162="","",SUBSTITUTE(SUBSTITUTE(SUBSTITUTE(SUBSTITUTE(F162,"&lt;li&gt;",CHAR(10)),"&lt;/li&gt;",""),"&lt;br&gt;",CHAR(10)),"&lt;strong&gt;",""))</f>
        <v/>
      </c>
      <c r="H162" s="11" cm="1" t="str">
        <f t="array" ref="H162">IF(G162="","",SUBSTITUTE(SUBSTITUTE(SUBSTITUTE(SUBSTITUTE(SUBSTITUTE(G162,"&lt;p&gt;",""),"&lt;/p&gt;",""),"&lt;ul&gt;",""),"&lt;/ul&gt;",""),"&lt;/strong&gt;",""))</f>
        <v/>
      </c>
      <c r="I162" s="11" cm="1" t="str">
        <f t="array" ref="I162">IF(C162="","",IF(OR(H162="",H162=0,H162=FALSE),"-",H162))</f>
        <v/>
      </c>
      <c r="J162" s="12">
</c>
      <c r="K162" s="12">
</c>
      <c r="L162" s="9" cm="1" t="str">
        <f t="array" ref="L162">IF(C162="","",IF(K162="Mort / Plus rien à faire","KO","OK"))</f>
        <v/>
      </c>
      <c r="M162" s="18">
</c>
      <c r="N162" s="13" cm="1" t="str">
        <f t="array" ref="N162">IF(OR(C162="",M162="",M162=0),"",M162)</f>
        <v/>
      </c>
      <c r="O162" s="18">
</c>
      <c r="P162" s="13" cm="1" t="str">
        <f t="array" ref="P162">IF(C162="","",IF(OR(O162="",O162=0),"-",O162))</f>
        <v/>
      </c>
      <c r="Q162" s="19">
</c>
      <c r="R162" s="9" cm="1" t="str">
        <f t="array" ref="R162">IF(C162="","",ROUND(Q162/1000000,3)&amp;" M€")</f>
        <v/>
      </c>
      <c r="S162" s="20">
</c>
      <c r="T162" s="9" cm="1" t="str">
        <f t="array" ref="T162">IF(C162="","",SUBSTITUTE(S162,"","")&amp;"%")</f>
        <v/>
      </c>
      <c r="U162" s="11" cm="1" t="str">
        <f t="array" ref="U162">IF(($N162="")*($P162=""),"",IF(($N162&lt;&gt;"")*($N162&gt;TODAY()-9)*($N162&lt;TODAY()+1)*($P162&lt;&gt;"")*($P162&gt;=TODAY())*($P162&lt;=TODAY()+13),"Semaine passée &amp; à venir",IF(($N162&lt;&gt;"")*($N162&gt;TODAY()-9)*($N162&lt;TODAY()+1),"Semaine passée",IF(($P162&lt;&gt;"")*($P162&gt;=TODAY())*($P162&lt;=TODAY()+13),"À venir","Autre"))))</f>
        <v/>
      </c>
      <c r="V162" cm="1" t="n">
        <f t="array" ref="V162">IF(C162&lt;&gt;"",1,0)</f>
        <v>0</v>
      </c>
    </row>
    <row r="163" ht="78.75" customHeight="1">
      <c r="A163" s="16">
</c>
      <c r="B163" s="12">
</c>
      <c r="C163" s="10">
</c>
      <c r="D163" s="17">
</c>
      <c r="E163" s="12">
</c>
      <c r="F163" s="12">
</c>
      <c r="G163" s="11" cm="1" t="str">
        <f t="array" ref="G163">IF(F163="","",SUBSTITUTE(SUBSTITUTE(SUBSTITUTE(SUBSTITUTE(F163,"&lt;li&gt;",CHAR(10)),"&lt;/li&gt;",""),"&lt;br&gt;",CHAR(10)),"&lt;strong&gt;",""))</f>
        <v/>
      </c>
      <c r="H163" s="11" cm="1" t="str">
        <f t="array" ref="H163">IF(G163="","",SUBSTITUTE(SUBSTITUTE(SUBSTITUTE(SUBSTITUTE(SUBSTITUTE(G163,"&lt;p&gt;",""),"&lt;/p&gt;",""),"&lt;ul&gt;",""),"&lt;/ul&gt;",""),"&lt;/strong&gt;",""))</f>
        <v/>
      </c>
      <c r="I163" s="11" cm="1" t="str">
        <f t="array" ref="I163">IF(C163="","",IF(OR(H163="",H163=0,H163=FALSE),"-",H163))</f>
        <v/>
      </c>
      <c r="J163" s="12">
</c>
      <c r="K163" s="12">
</c>
      <c r="L163" s="9" cm="1" t="str">
        <f t="array" ref="L163">IF(C163="","",IF(K163="Mort / Plus rien à faire","KO","OK"))</f>
        <v/>
      </c>
      <c r="M163" s="18">
</c>
      <c r="N163" s="13" cm="1" t="str">
        <f t="array" ref="N163">IF(OR(C163="",M163="",M163=0),"",M163)</f>
        <v/>
      </c>
      <c r="O163" s="18">
</c>
      <c r="P163" s="13" cm="1" t="str">
        <f t="array" ref="P163">IF(C163="","",IF(OR(O163="",O163=0),"-",O163))</f>
        <v/>
      </c>
      <c r="Q163" s="19">
</c>
      <c r="R163" s="9" cm="1" t="str">
        <f t="array" ref="R163">IF(C163="","",ROUND(Q163/1000000,3)&amp;" M€")</f>
        <v/>
      </c>
      <c r="S163" s="20">
</c>
      <c r="T163" s="9" cm="1" t="str">
        <f t="array" ref="T163">IF(C163="","",SUBSTITUTE(S163,"","")&amp;"%")</f>
        <v/>
      </c>
      <c r="U163" s="11" cm="1" t="str">
        <f t="array" ref="U163">IF(($N163="")*($P163=""),"",IF(($N163&lt;&gt;"")*($N163&gt;TODAY()-9)*($N163&lt;TODAY()+1)*($P163&lt;&gt;"")*($P163&gt;=TODAY())*($P163&lt;=TODAY()+13),"Semaine passée &amp; à venir",IF(($N163&lt;&gt;"")*($N163&gt;TODAY()-9)*($N163&lt;TODAY()+1),"Semaine passée",IF(($P163&lt;&gt;"")*($P163&gt;=TODAY())*($P163&lt;=TODAY()+13),"À venir","Autre"))))</f>
        <v/>
      </c>
      <c r="V163" cm="1" t="n">
        <f t="array" ref="V163">IF(C163&lt;&gt;"",1,0)</f>
        <v>0</v>
      </c>
    </row>
    <row r="164" ht="78.75" customHeight="1">
      <c r="A164" s="16">
</c>
      <c r="B164" s="12">
</c>
      <c r="C164" s="10">
</c>
      <c r="D164" s="17">
</c>
      <c r="E164" s="12">
</c>
      <c r="F164" s="12">
</c>
      <c r="G164" s="11" cm="1" t="str">
        <f t="array" ref="G164">IF(F164="","",SUBSTITUTE(SUBSTITUTE(SUBSTITUTE(SUBSTITUTE(F164,"&lt;li&gt;",CHAR(10)),"&lt;/li&gt;",""),"&lt;br&gt;",CHAR(10)),"&lt;strong&gt;",""))</f>
        <v/>
      </c>
      <c r="H164" s="11" cm="1" t="str">
        <f t="array" ref="H164">IF(G164="","",SUBSTITUTE(SUBSTITUTE(SUBSTITUTE(SUBSTITUTE(SUBSTITUTE(G164,"&lt;p&gt;",""),"&lt;/p&gt;",""),"&lt;ul&gt;",""),"&lt;/ul&gt;",""),"&lt;/strong&gt;",""))</f>
        <v/>
      </c>
      <c r="I164" s="11" cm="1" t="str">
        <f t="array" ref="I164">IF(C164="","",IF(OR(H164="",H164=0,H164=FALSE),"-",H164))</f>
        <v/>
      </c>
      <c r="J164" s="12">
</c>
      <c r="K164" s="12">
</c>
      <c r="L164" s="9" cm="1" t="str">
        <f t="array" ref="L164">IF(C164="","",IF(K164="Mort / Plus rien à faire","KO","OK"))</f>
        <v/>
      </c>
      <c r="M164" s="18">
</c>
      <c r="N164" s="13" cm="1" t="str">
        <f t="array" ref="N164">IF(OR(C164="",M164="",M164=0),"",M164)</f>
        <v/>
      </c>
      <c r="O164" s="18">
</c>
      <c r="P164" s="13" cm="1" t="str">
        <f t="array" ref="P164">IF(C164="","",IF(OR(O164="",O164=0),"-",O164))</f>
        <v/>
      </c>
      <c r="Q164" s="19">
</c>
      <c r="R164" s="9" cm="1" t="str">
        <f t="array" ref="R164">IF(C164="","",ROUND(Q164/1000000,3)&amp;" M€")</f>
        <v/>
      </c>
      <c r="S164" s="20">
</c>
      <c r="T164" s="9" cm="1" t="str">
        <f t="array" ref="T164">IF(C164="","",SUBSTITUTE(S164,"","")&amp;"%")</f>
        <v/>
      </c>
      <c r="U164" s="11" cm="1" t="str">
        <f t="array" ref="U164">IF(($N164="")*($P164=""),"",IF(($N164&lt;&gt;"")*($N164&gt;TODAY()-9)*($N164&lt;TODAY()+1)*($P164&lt;&gt;"")*($P164&gt;=TODAY())*($P164&lt;=TODAY()+13),"Semaine passée &amp; à venir",IF(($N164&lt;&gt;"")*($N164&gt;TODAY()-9)*($N164&lt;TODAY()+1),"Semaine passée",IF(($P164&lt;&gt;"")*($P164&gt;=TODAY())*($P164&lt;=TODAY()+13),"À venir","Autre"))))</f>
        <v/>
      </c>
      <c r="V164" cm="1" t="n">
        <f t="array" ref="V164">IF(C164&lt;&gt;"",1,0)</f>
        <v>0</v>
      </c>
    </row>
    <row r="165" ht="78.75" customHeight="1">
      <c r="A165" s="16">
</c>
      <c r="B165" s="12">
</c>
      <c r="C165" s="10">
</c>
      <c r="D165" s="17">
</c>
      <c r="E165" s="12">
</c>
      <c r="F165" s="12">
</c>
      <c r="G165" s="11" cm="1" t="str">
        <f t="array" ref="G165">IF(F165="","",SUBSTITUTE(SUBSTITUTE(SUBSTITUTE(SUBSTITUTE(F165,"&lt;li&gt;",CHAR(10)),"&lt;/li&gt;",""),"&lt;br&gt;",CHAR(10)),"&lt;strong&gt;",""))</f>
        <v/>
      </c>
      <c r="H165" s="11" cm="1" t="str">
        <f t="array" ref="H165">IF(G165="","",SUBSTITUTE(SUBSTITUTE(SUBSTITUTE(SUBSTITUTE(SUBSTITUTE(G165,"&lt;p&gt;",""),"&lt;/p&gt;",""),"&lt;ul&gt;",""),"&lt;/ul&gt;",""),"&lt;/strong&gt;",""))</f>
        <v/>
      </c>
      <c r="I165" s="11" cm="1" t="str">
        <f t="array" ref="I165">IF(C165="","",IF(OR(H165="",H165=0,H165=FALSE),"-",H165))</f>
        <v/>
      </c>
      <c r="J165" s="12">
</c>
      <c r="K165" s="12">
</c>
      <c r="L165" s="9" cm="1" t="str">
        <f t="array" ref="L165">IF(C165="","",IF(K165="Mort / Plus rien à faire","KO","OK"))</f>
        <v/>
      </c>
      <c r="M165" s="18">
</c>
      <c r="N165" s="13" cm="1" t="str">
        <f t="array" ref="N165">IF(OR(C165="",M165="",M165=0),"",M165)</f>
        <v/>
      </c>
      <c r="O165" s="18">
</c>
      <c r="P165" s="13" cm="1" t="str">
        <f t="array" ref="P165">IF(C165="","",IF(OR(O165="",O165=0),"-",O165))</f>
        <v/>
      </c>
      <c r="Q165" s="19">
</c>
      <c r="R165" s="9" cm="1" t="str">
        <f t="array" ref="R165">IF(C165="","",ROUND(Q165/1000000,3)&amp;" M€")</f>
        <v/>
      </c>
      <c r="S165" s="20">
</c>
      <c r="T165" s="9" cm="1" t="str">
        <f t="array" ref="T165">IF(C165="","",SUBSTITUTE(S165,"","")&amp;"%")</f>
        <v/>
      </c>
      <c r="U165" s="11" cm="1" t="str">
        <f t="array" ref="U165">IF(($N165="")*($P165=""),"",IF(($N165&lt;&gt;"")*($N165&gt;TODAY()-9)*($N165&lt;TODAY()+1)*($P165&lt;&gt;"")*($P165&gt;=TODAY())*($P165&lt;=TODAY()+13),"Semaine passée &amp; à venir",IF(($N165&lt;&gt;"")*($N165&gt;TODAY()-9)*($N165&lt;TODAY()+1),"Semaine passée",IF(($P165&lt;&gt;"")*($P165&gt;=TODAY())*($P165&lt;=TODAY()+13),"À venir","Autre"))))</f>
        <v/>
      </c>
      <c r="V165" cm="1" t="n">
        <f t="array" ref="V165">IF(C165&lt;&gt;"",1,0)</f>
        <v>0</v>
      </c>
    </row>
    <row r="166" ht="78.75" customHeight="1">
      <c r="A166" s="16">
</c>
      <c r="B166" s="12">
</c>
      <c r="C166" s="10">
</c>
      <c r="D166" s="17">
</c>
      <c r="E166" s="12">
</c>
      <c r="F166" s="12">
</c>
      <c r="G166" s="11" cm="1" t="str">
        <f t="array" ref="G166">IF(F166="","",SUBSTITUTE(SUBSTITUTE(SUBSTITUTE(SUBSTITUTE(F166,"&lt;li&gt;",CHAR(10)),"&lt;/li&gt;",""),"&lt;br&gt;",CHAR(10)),"&lt;strong&gt;",""))</f>
        <v/>
      </c>
      <c r="H166" s="11" cm="1" t="str">
        <f t="array" ref="H166">IF(G166="","",SUBSTITUTE(SUBSTITUTE(SUBSTITUTE(SUBSTITUTE(SUBSTITUTE(G166,"&lt;p&gt;",""),"&lt;/p&gt;",""),"&lt;ul&gt;",""),"&lt;/ul&gt;",""),"&lt;/strong&gt;",""))</f>
        <v/>
      </c>
      <c r="I166" s="11" cm="1" t="str">
        <f t="array" ref="I166">IF(C166="","",IF(OR(H166="",H166=0,H166=FALSE),"-",H166))</f>
        <v/>
      </c>
      <c r="J166" s="12">
</c>
      <c r="K166" s="12">
</c>
      <c r="L166" s="9" cm="1" t="str">
        <f t="array" ref="L166">IF(C166="","",IF(K166="Mort / Plus rien à faire","KO","OK"))</f>
        <v/>
      </c>
      <c r="M166" s="18">
</c>
      <c r="N166" s="13" cm="1" t="str">
        <f t="array" ref="N166">IF(OR(C166="",M166="",M166=0),"",M166)</f>
        <v/>
      </c>
      <c r="O166" s="18">
</c>
      <c r="P166" s="13" cm="1" t="str">
        <f t="array" ref="P166">IF(C166="","",IF(OR(O166="",O166=0),"-",O166))</f>
        <v/>
      </c>
      <c r="Q166" s="19">
</c>
      <c r="R166" s="9" cm="1" t="str">
        <f t="array" ref="R166">IF(C166="","",ROUND(Q166/1000000,3)&amp;" M€")</f>
        <v/>
      </c>
      <c r="S166" s="20">
</c>
      <c r="T166" s="9" cm="1" t="str">
        <f t="array" ref="T166">IF(C166="","",SUBSTITUTE(S166,"","")&amp;"%")</f>
        <v/>
      </c>
      <c r="U166" s="11" cm="1" t="str">
        <f t="array" ref="U166">IF(($N166="")*($P166=""),"",IF(($N166&lt;&gt;"")*($N166&gt;TODAY()-9)*($N166&lt;TODAY()+1)*($P166&lt;&gt;"")*($P166&gt;=TODAY())*($P166&lt;=TODAY()+13),"Semaine passée &amp; à venir",IF(($N166&lt;&gt;"")*($N166&gt;TODAY()-9)*($N166&lt;TODAY()+1),"Semaine passée",IF(($P166&lt;&gt;"")*($P166&gt;=TODAY())*($P166&lt;=TODAY()+13),"À venir","Autre"))))</f>
        <v/>
      </c>
      <c r="V166" cm="1" t="n">
        <f t="array" ref="V166">IF(C166&lt;&gt;"",1,0)</f>
        <v>0</v>
      </c>
    </row>
    <row r="167" ht="78.75" customHeight="1">
      <c r="A167" s="16">
</c>
      <c r="B167" s="12">
</c>
      <c r="C167" s="10">
</c>
      <c r="D167" s="17">
</c>
      <c r="E167" s="12">
</c>
      <c r="F167" s="12">
</c>
      <c r="G167" s="11" cm="1" t="str">
        <f t="array" ref="G167">IF(F167="","",SUBSTITUTE(SUBSTITUTE(SUBSTITUTE(SUBSTITUTE(F167,"&lt;li&gt;",CHAR(10)),"&lt;/li&gt;",""),"&lt;br&gt;",CHAR(10)),"&lt;strong&gt;",""))</f>
        <v/>
      </c>
      <c r="H167" s="11" cm="1" t="str">
        <f t="array" ref="H167">IF(G167="","",SUBSTITUTE(SUBSTITUTE(SUBSTITUTE(SUBSTITUTE(SUBSTITUTE(G167,"&lt;p&gt;",""),"&lt;/p&gt;",""),"&lt;ul&gt;",""),"&lt;/ul&gt;",""),"&lt;/strong&gt;",""))</f>
        <v/>
      </c>
      <c r="I167" s="11" cm="1" t="str">
        <f t="array" ref="I167">IF(C167="","",IF(OR(H167="",H167=0,H167=FALSE),"-",H167))</f>
        <v/>
      </c>
      <c r="J167" s="12">
</c>
      <c r="K167" s="12">
</c>
      <c r="L167" s="9" cm="1" t="str">
        <f t="array" ref="L167">IF(C167="","",IF(K167="Mort / Plus rien à faire","KO","OK"))</f>
        <v/>
      </c>
      <c r="M167" s="18">
</c>
      <c r="N167" s="13" cm="1" t="str">
        <f t="array" ref="N167">IF(OR(C167="",M167="",M167=0),"",M167)</f>
        <v/>
      </c>
      <c r="O167" s="18">
</c>
      <c r="P167" s="13" cm="1" t="str">
        <f t="array" ref="P167">IF(C167="","",IF(OR(O167="",O167=0),"-",O167))</f>
        <v/>
      </c>
      <c r="Q167" s="19">
</c>
      <c r="R167" s="9" cm="1" t="str">
        <f t="array" ref="R167">IF(C167="","",ROUND(Q167/1000000,3)&amp;" M€")</f>
        <v/>
      </c>
      <c r="S167" s="20">
</c>
      <c r="T167" s="9" cm="1" t="str">
        <f t="array" ref="T167">IF(C167="","",SUBSTITUTE(S167,"","")&amp;"%")</f>
        <v/>
      </c>
      <c r="U167" s="11" cm="1" t="str">
        <f t="array" ref="U167">IF(($N167="")*($P167=""),"",IF(($N167&lt;&gt;"")*($N167&gt;TODAY()-9)*($N167&lt;TODAY()+1)*($P167&lt;&gt;"")*($P167&gt;=TODAY())*($P167&lt;=TODAY()+13),"Semaine passée &amp; à venir",IF(($N167&lt;&gt;"")*($N167&gt;TODAY()-9)*($N167&lt;TODAY()+1),"Semaine passée",IF(($P167&lt;&gt;"")*($P167&gt;=TODAY())*($P167&lt;=TODAY()+13),"À venir","Autre"))))</f>
        <v/>
      </c>
      <c r="V167" cm="1" t="n">
        <f t="array" ref="V167">IF(C167&lt;&gt;"",1,0)</f>
        <v>0</v>
      </c>
    </row>
    <row r="168" ht="78.75" customHeight="1">
      <c r="A168" s="16">
</c>
      <c r="B168" s="12">
</c>
      <c r="C168" s="10">
</c>
      <c r="D168" s="17">
</c>
      <c r="E168" s="12">
</c>
      <c r="F168" s="12">
</c>
      <c r="G168" s="11" cm="1" t="str">
        <f t="array" ref="G168">IF(F168="","",SUBSTITUTE(SUBSTITUTE(SUBSTITUTE(SUBSTITUTE(F168,"&lt;li&gt;",CHAR(10)),"&lt;/li&gt;",""),"&lt;br&gt;",CHAR(10)),"&lt;strong&gt;",""))</f>
        <v/>
      </c>
      <c r="H168" s="11" cm="1" t="str">
        <f t="array" ref="H168">IF(G168="","",SUBSTITUTE(SUBSTITUTE(SUBSTITUTE(SUBSTITUTE(SUBSTITUTE(G168,"&lt;p&gt;",""),"&lt;/p&gt;",""),"&lt;ul&gt;",""),"&lt;/ul&gt;",""),"&lt;/strong&gt;",""))</f>
        <v/>
      </c>
      <c r="I168" s="11" cm="1" t="str">
        <f t="array" ref="I168">IF(C168="","",IF(OR(H168="",H168=0,H168=FALSE),"-",H168))</f>
        <v/>
      </c>
      <c r="J168" s="12">
</c>
      <c r="K168" s="12">
</c>
      <c r="L168" s="9" cm="1" t="str">
        <f t="array" ref="L168">IF(C168="","",IF(K168="Mort / Plus rien à faire","KO","OK"))</f>
        <v/>
      </c>
      <c r="M168" s="18">
</c>
      <c r="N168" s="13" cm="1" t="str">
        <f t="array" ref="N168">IF(OR(C168="",M168="",M168=0),"",M168)</f>
        <v/>
      </c>
      <c r="O168" s="18">
</c>
      <c r="P168" s="13" cm="1" t="str">
        <f t="array" ref="P168">IF(C168="","",IF(OR(O168="",O168=0),"-",O168))</f>
        <v/>
      </c>
      <c r="Q168" s="19">
</c>
      <c r="R168" s="9" cm="1" t="str">
        <f t="array" ref="R168">IF(C168="","",ROUND(Q168/1000000,3)&amp;" M€")</f>
        <v/>
      </c>
      <c r="S168" s="20">
</c>
      <c r="T168" s="9" cm="1" t="str">
        <f t="array" ref="T168">IF(C168="","",SUBSTITUTE(S168,"","")&amp;"%")</f>
        <v/>
      </c>
      <c r="U168" s="11" cm="1" t="str">
        <f t="array" ref="U168">IF(($N168="")*($P168=""),"",IF(($N168&lt;&gt;"")*($N168&gt;TODAY()-9)*($N168&lt;TODAY()+1)*($P168&lt;&gt;"")*($P168&gt;=TODAY())*($P168&lt;=TODAY()+13),"Semaine passée &amp; à venir",IF(($N168&lt;&gt;"")*($N168&gt;TODAY()-9)*($N168&lt;TODAY()+1),"Semaine passée",IF(($P168&lt;&gt;"")*($P168&gt;=TODAY())*($P168&lt;=TODAY()+13),"À venir","Autre"))))</f>
        <v/>
      </c>
      <c r="V168" cm="1" t="n">
        <f t="array" ref="V168">IF(C168&lt;&gt;"",1,0)</f>
        <v>0</v>
      </c>
    </row>
    <row r="169" ht="78.75" customHeight="1">
      <c r="A169" s="16">
</c>
      <c r="B169" s="12">
</c>
      <c r="C169" s="10">
</c>
      <c r="D169" s="17">
</c>
      <c r="E169" s="12">
</c>
      <c r="F169" s="12">
</c>
      <c r="G169" s="11" cm="1" t="str">
        <f t="array" ref="G169">IF(F169="","",SUBSTITUTE(SUBSTITUTE(SUBSTITUTE(SUBSTITUTE(F169,"&lt;li&gt;",CHAR(10)),"&lt;/li&gt;",""),"&lt;br&gt;",CHAR(10)),"&lt;strong&gt;",""))</f>
        <v/>
      </c>
      <c r="H169" s="11" cm="1" t="str">
        <f t="array" ref="H169">IF(G169="","",SUBSTITUTE(SUBSTITUTE(SUBSTITUTE(SUBSTITUTE(SUBSTITUTE(G169,"&lt;p&gt;",""),"&lt;/p&gt;",""),"&lt;ul&gt;",""),"&lt;/ul&gt;",""),"&lt;/strong&gt;",""))</f>
        <v/>
      </c>
      <c r="I169" s="11" cm="1" t="str">
        <f t="array" ref="I169">IF(C169="","",IF(OR(H169="",H169=0,H169=FALSE),"-",H169))</f>
        <v/>
      </c>
      <c r="J169" s="12">
</c>
      <c r="K169" s="12">
</c>
      <c r="L169" s="9" cm="1" t="str">
        <f t="array" ref="L169">IF(C169="","",IF(K169="Mort / Plus rien à faire","KO","OK"))</f>
        <v/>
      </c>
      <c r="M169" s="18">
</c>
      <c r="N169" s="13" cm="1" t="str">
        <f t="array" ref="N169">IF(OR(C169="",M169="",M169=0),"",M169)</f>
        <v/>
      </c>
      <c r="O169" s="18">
</c>
      <c r="P169" s="13" cm="1" t="str">
        <f t="array" ref="P169">IF(C169="","",IF(OR(O169="",O169=0),"-",O169))</f>
        <v/>
      </c>
      <c r="Q169" s="19">
</c>
      <c r="R169" s="9" cm="1" t="str">
        <f t="array" ref="R169">IF(C169="","",ROUND(Q169/1000000,3)&amp;" M€")</f>
        <v/>
      </c>
      <c r="S169" s="20">
</c>
      <c r="T169" s="9" cm="1" t="str">
        <f t="array" ref="T169">IF(C169="","",SUBSTITUTE(S169,"","")&amp;"%")</f>
        <v/>
      </c>
      <c r="U169" s="11" cm="1" t="str">
        <f t="array" ref="U169">IF(($N169="")*($P169=""),"",IF(($N169&lt;&gt;"")*($N169&gt;TODAY()-9)*($N169&lt;TODAY()+1)*($P169&lt;&gt;"")*($P169&gt;=TODAY())*($P169&lt;=TODAY()+13),"Semaine passée &amp; à venir",IF(($N169&lt;&gt;"")*($N169&gt;TODAY()-9)*($N169&lt;TODAY()+1),"Semaine passée",IF(($P169&lt;&gt;"")*($P169&gt;=TODAY())*($P169&lt;=TODAY()+13),"À venir","Autre"))))</f>
        <v/>
      </c>
      <c r="V169" cm="1" t="n">
        <f t="array" ref="V169">IF(C169&lt;&gt;"",1,0)</f>
        <v>0</v>
      </c>
    </row>
    <row r="170" ht="78.75" customHeight="1">
      <c r="A170" s="16">
</c>
      <c r="B170" s="12">
</c>
      <c r="C170" s="10">
</c>
      <c r="D170" s="17">
</c>
      <c r="E170" s="12">
</c>
      <c r="F170" s="12">
</c>
      <c r="G170" s="11" cm="1" t="str">
        <f t="array" ref="G170">IF(F170="","",SUBSTITUTE(SUBSTITUTE(SUBSTITUTE(SUBSTITUTE(F170,"&lt;li&gt;",CHAR(10)),"&lt;/li&gt;",""),"&lt;br&gt;",CHAR(10)),"&lt;strong&gt;",""))</f>
        <v/>
      </c>
      <c r="H170" s="11" cm="1" t="str">
        <f t="array" ref="H170">IF(G170="","",SUBSTITUTE(SUBSTITUTE(SUBSTITUTE(SUBSTITUTE(SUBSTITUTE(G170,"&lt;p&gt;",""),"&lt;/p&gt;",""),"&lt;ul&gt;",""),"&lt;/ul&gt;",""),"&lt;/strong&gt;",""))</f>
        <v/>
      </c>
      <c r="I170" s="11" cm="1" t="str">
        <f t="array" ref="I170">IF(C170="","",IF(OR(H170="",H170=0,H170=FALSE),"-",H170))</f>
        <v/>
      </c>
      <c r="J170" s="12">
</c>
      <c r="K170" s="12">
</c>
      <c r="L170" s="9" cm="1" t="str">
        <f t="array" ref="L170">IF(C170="","",IF(K170="Mort / Plus rien à faire","KO","OK"))</f>
        <v/>
      </c>
      <c r="M170" s="18">
</c>
      <c r="N170" s="13" cm="1" t="str">
        <f t="array" ref="N170">IF(OR(C170="",M170="",M170=0),"",M170)</f>
        <v/>
      </c>
      <c r="O170" s="18">
</c>
      <c r="P170" s="13" cm="1" t="str">
        <f t="array" ref="P170">IF(C170="","",IF(OR(O170="",O170=0),"-",O170))</f>
        <v/>
      </c>
      <c r="Q170" s="19">
</c>
      <c r="R170" s="9" cm="1" t="str">
        <f t="array" ref="R170">IF(C170="","",ROUND(Q170/1000000,3)&amp;" M€")</f>
        <v/>
      </c>
      <c r="S170" s="20">
</c>
      <c r="T170" s="9" cm="1" t="str">
        <f t="array" ref="T170">IF(C170="","",SUBSTITUTE(S170,"","")&amp;"%")</f>
        <v/>
      </c>
      <c r="U170" s="11" cm="1" t="str">
        <f t="array" ref="U170">IF(($N170="")*($P170=""),"",IF(($N170&lt;&gt;"")*($N170&gt;TODAY()-9)*($N170&lt;TODAY()+1)*($P170&lt;&gt;"")*($P170&gt;=TODAY())*($P170&lt;=TODAY()+13),"Semaine passée &amp; à venir",IF(($N170&lt;&gt;"")*($N170&gt;TODAY()-9)*($N170&lt;TODAY()+1),"Semaine passée",IF(($P170&lt;&gt;"")*($P170&gt;=TODAY())*($P170&lt;=TODAY()+13),"À venir","Autre"))))</f>
        <v/>
      </c>
      <c r="V170" cm="1" t="n">
        <f t="array" ref="V170">IF(C170&lt;&gt;"",1,0)</f>
        <v>0</v>
      </c>
    </row>
    <row r="171" ht="78.75" customHeight="1">
      <c r="A171" s="16">
</c>
      <c r="B171" s="12">
</c>
      <c r="C171" s="10">
</c>
      <c r="D171" s="17">
</c>
      <c r="E171" s="12">
</c>
      <c r="F171" s="12">
</c>
      <c r="G171" s="11" cm="1" t="str">
        <f t="array" ref="G171">IF(F171="","",SUBSTITUTE(SUBSTITUTE(SUBSTITUTE(SUBSTITUTE(F171,"&lt;li&gt;",CHAR(10)),"&lt;/li&gt;",""),"&lt;br&gt;",CHAR(10)),"&lt;strong&gt;",""))</f>
        <v/>
      </c>
      <c r="H171" s="11" cm="1" t="str">
        <f t="array" ref="H171">IF(G171="","",SUBSTITUTE(SUBSTITUTE(SUBSTITUTE(SUBSTITUTE(SUBSTITUTE(G171,"&lt;p&gt;",""),"&lt;/p&gt;",""),"&lt;ul&gt;",""),"&lt;/ul&gt;",""),"&lt;/strong&gt;",""))</f>
        <v/>
      </c>
      <c r="I171" s="11" cm="1" t="str">
        <f t="array" ref="I171">IF(C171="","",IF(OR(H171="",H171=0,H171=FALSE),"-",H171))</f>
        <v/>
      </c>
      <c r="J171" s="12">
</c>
      <c r="K171" s="12">
</c>
      <c r="L171" s="9" cm="1" t="str">
        <f t="array" ref="L171">IF(C171="","",IF(K171="Mort / Plus rien à faire","KO","OK"))</f>
        <v/>
      </c>
      <c r="M171" s="18">
</c>
      <c r="N171" s="13" cm="1" t="str">
        <f t="array" ref="N171">IF(OR(C171="",M171="",M171=0),"",M171)</f>
        <v/>
      </c>
      <c r="O171" s="18">
</c>
      <c r="P171" s="13" cm="1" t="str">
        <f t="array" ref="P171">IF(C171="","",IF(OR(O171="",O171=0),"-",O171))</f>
        <v/>
      </c>
      <c r="Q171" s="19">
</c>
      <c r="R171" s="9" cm="1" t="str">
        <f t="array" ref="R171">IF(C171="","",ROUND(Q171/1000000,3)&amp;" M€")</f>
        <v/>
      </c>
      <c r="S171" s="20">
</c>
      <c r="T171" s="9" cm="1" t="str">
        <f t="array" ref="T171">IF(C171="","",SUBSTITUTE(S171,"","")&amp;"%")</f>
        <v/>
      </c>
      <c r="U171" s="11" cm="1" t="str">
        <f t="array" ref="U171">IF(($N171="")*($P171=""),"",IF(($N171&lt;&gt;"")*($N171&gt;TODAY()-9)*($N171&lt;TODAY()+1)*($P171&lt;&gt;"")*($P171&gt;=TODAY())*($P171&lt;=TODAY()+13),"Semaine passée &amp; à venir",IF(($N171&lt;&gt;"")*($N171&gt;TODAY()-9)*($N171&lt;TODAY()+1),"Semaine passée",IF(($P171&lt;&gt;"")*($P171&gt;=TODAY())*($P171&lt;=TODAY()+13),"À venir","Autre"))))</f>
        <v/>
      </c>
      <c r="V171" cm="1" t="n">
        <f t="array" ref="V171">IF(C171&lt;&gt;"",1,0)</f>
        <v>0</v>
      </c>
    </row>
    <row r="172" ht="78.75" customHeight="1">
      <c r="A172" s="16">
</c>
      <c r="B172" s="12">
</c>
      <c r="C172" s="10">
</c>
      <c r="D172" s="17">
</c>
      <c r="E172" s="12">
</c>
      <c r="F172" s="12">
</c>
      <c r="G172" s="11" cm="1" t="str">
        <f t="array" ref="G172">IF(F172="","",SUBSTITUTE(SUBSTITUTE(SUBSTITUTE(SUBSTITUTE(F172,"&lt;li&gt;",CHAR(10)),"&lt;/li&gt;",""),"&lt;br&gt;",CHAR(10)),"&lt;strong&gt;",""))</f>
        <v/>
      </c>
      <c r="H172" s="11" cm="1" t="str">
        <f t="array" ref="H172">IF(G172="","",SUBSTITUTE(SUBSTITUTE(SUBSTITUTE(SUBSTITUTE(SUBSTITUTE(G172,"&lt;p&gt;",""),"&lt;/p&gt;",""),"&lt;ul&gt;",""),"&lt;/ul&gt;",""),"&lt;/strong&gt;",""))</f>
        <v/>
      </c>
      <c r="I172" s="11" cm="1" t="str">
        <f t="array" ref="I172">IF(C172="","",IF(OR(H172="",H172=0,H172=FALSE),"-",H172))</f>
        <v/>
      </c>
      <c r="J172" s="12">
</c>
      <c r="K172" s="12">
</c>
      <c r="L172" s="9" cm="1" t="str">
        <f t="array" ref="L172">IF(C172="","",IF(K172="Mort / Plus rien à faire","KO","OK"))</f>
        <v/>
      </c>
      <c r="M172" s="18">
</c>
      <c r="N172" s="13" cm="1" t="str">
        <f t="array" ref="N172">IF(OR(C172="",M172="",M172=0),"",M172)</f>
        <v/>
      </c>
      <c r="O172" s="18">
</c>
      <c r="P172" s="13" cm="1" t="str">
        <f t="array" ref="P172">IF(C172="","",IF(OR(O172="",O172=0),"-",O172))</f>
        <v/>
      </c>
      <c r="Q172" s="19">
</c>
      <c r="R172" s="9" cm="1" t="str">
        <f t="array" ref="R172">IF(C172="","",ROUND(Q172/1000000,3)&amp;" M€")</f>
        <v/>
      </c>
      <c r="S172" s="20">
</c>
      <c r="T172" s="9" cm="1" t="str">
        <f t="array" ref="T172">IF(C172="","",SUBSTITUTE(S172,"","")&amp;"%")</f>
        <v/>
      </c>
      <c r="U172" s="11" cm="1" t="str">
        <f t="array" ref="U172">IF(($N172="")*($P172=""),"",IF(($N172&lt;&gt;"")*($N172&gt;TODAY()-9)*($N172&lt;TODAY()+1)*($P172&lt;&gt;"")*($P172&gt;=TODAY())*($P172&lt;=TODAY()+13),"Semaine passée &amp; à venir",IF(($N172&lt;&gt;"")*($N172&gt;TODAY()-9)*($N172&lt;TODAY()+1),"Semaine passée",IF(($P172&lt;&gt;"")*($P172&gt;=TODAY())*($P172&lt;=TODAY()+13),"À venir","Autre"))))</f>
        <v/>
      </c>
      <c r="V172" cm="1" t="n">
        <f t="array" ref="V172">IF(C172&lt;&gt;"",1,0)</f>
        <v>0</v>
      </c>
    </row>
    <row r="173" ht="78.75" customHeight="1">
      <c r="A173" s="16">
</c>
      <c r="B173" s="12">
</c>
      <c r="C173" s="10">
</c>
      <c r="D173" s="17">
</c>
      <c r="E173" s="12">
</c>
      <c r="F173" s="12">
</c>
      <c r="G173" s="11" cm="1" t="str">
        <f t="array" ref="G173">IF(F173="","",SUBSTITUTE(SUBSTITUTE(SUBSTITUTE(SUBSTITUTE(F173,"&lt;li&gt;",CHAR(10)),"&lt;/li&gt;",""),"&lt;br&gt;",CHAR(10)),"&lt;strong&gt;",""))</f>
        <v/>
      </c>
      <c r="H173" s="11" cm="1" t="str">
        <f t="array" ref="H173">IF(G173="","",SUBSTITUTE(SUBSTITUTE(SUBSTITUTE(SUBSTITUTE(SUBSTITUTE(G173,"&lt;p&gt;",""),"&lt;/p&gt;",""),"&lt;ul&gt;",""),"&lt;/ul&gt;",""),"&lt;/strong&gt;",""))</f>
        <v/>
      </c>
      <c r="I173" s="11" cm="1" t="str">
        <f t="array" ref="I173">IF(C173="","",IF(OR(H173="",H173=0,H173=FALSE),"-",H173))</f>
        <v/>
      </c>
      <c r="J173" s="12">
</c>
      <c r="K173" s="12">
</c>
      <c r="L173" s="9" cm="1" t="str">
        <f t="array" ref="L173">IF(C173="","",IF(K173="Mort / Plus rien à faire","KO","OK"))</f>
        <v/>
      </c>
      <c r="M173" s="18">
</c>
      <c r="N173" s="13" cm="1" t="str">
        <f t="array" ref="N173">IF(OR(C173="",M173="",M173=0),"",M173)</f>
        <v/>
      </c>
      <c r="O173" s="18">
</c>
      <c r="P173" s="13" cm="1" t="str">
        <f t="array" ref="P173">IF(C173="","",IF(OR(O173="",O173=0),"-",O173))</f>
        <v/>
      </c>
      <c r="Q173" s="19">
</c>
      <c r="R173" s="9" cm="1" t="str">
        <f t="array" ref="R173">IF(C173="","",ROUND(Q173/1000000,3)&amp;" M€")</f>
        <v/>
      </c>
      <c r="S173" s="20">
</c>
      <c r="T173" s="9" cm="1" t="str">
        <f t="array" ref="T173">IF(C173="","",SUBSTITUTE(S173,"","")&amp;"%")</f>
        <v/>
      </c>
      <c r="U173" s="11" cm="1" t="str">
        <f t="array" ref="U173">IF(($N173="")*($P173=""),"",IF(($N173&lt;&gt;"")*($N173&gt;TODAY()-9)*($N173&lt;TODAY()+1)*($P173&lt;&gt;"")*($P173&gt;=TODAY())*($P173&lt;=TODAY()+13),"Semaine passée &amp; à venir",IF(($N173&lt;&gt;"")*($N173&gt;TODAY()-9)*($N173&lt;TODAY()+1),"Semaine passée",IF(($P173&lt;&gt;"")*($P173&gt;=TODAY())*($P173&lt;=TODAY()+13),"À venir","Autre"))))</f>
        <v/>
      </c>
      <c r="V173" cm="1" t="n">
        <f t="array" ref="V173">IF(C173&lt;&gt;"",1,0)</f>
        <v>0</v>
      </c>
    </row>
    <row r="174" ht="78.75" customHeight="1">
      <c r="A174" s="16">
</c>
      <c r="B174" s="12">
</c>
      <c r="C174" s="10">
</c>
      <c r="D174" s="17">
</c>
      <c r="E174" s="12">
</c>
      <c r="F174" s="12">
</c>
      <c r="G174" s="11" cm="1" t="str">
        <f t="array" ref="G174">IF(F174="","",SUBSTITUTE(SUBSTITUTE(SUBSTITUTE(SUBSTITUTE(F174,"&lt;li&gt;",CHAR(10)),"&lt;/li&gt;",""),"&lt;br&gt;",CHAR(10)),"&lt;strong&gt;",""))</f>
        <v/>
      </c>
      <c r="H174" s="11" cm="1" t="str">
        <f t="array" ref="H174">IF(G174="","",SUBSTITUTE(SUBSTITUTE(SUBSTITUTE(SUBSTITUTE(SUBSTITUTE(G174,"&lt;p&gt;",""),"&lt;/p&gt;",""),"&lt;ul&gt;",""),"&lt;/ul&gt;",""),"&lt;/strong&gt;",""))</f>
        <v/>
      </c>
      <c r="I174" s="11" cm="1" t="str">
        <f t="array" ref="I174">IF(C174="","",IF(OR(H174="",H174=0,H174=FALSE),"-",H174))</f>
        <v/>
      </c>
      <c r="J174" s="12">
</c>
      <c r="K174" s="12">
</c>
      <c r="L174" s="9" cm="1" t="str">
        <f t="array" ref="L174">IF(C174="","",IF(K174="Mort / Plus rien à faire","KO","OK"))</f>
        <v/>
      </c>
      <c r="M174" s="18">
</c>
      <c r="N174" s="13" cm="1" t="str">
        <f t="array" ref="N174">IF(OR(C174="",M174="",M174=0),"",M174)</f>
        <v/>
      </c>
      <c r="O174" s="18">
</c>
      <c r="P174" s="13" cm="1" t="str">
        <f t="array" ref="P174">IF(C174="","",IF(OR(O174="",O174=0),"-",O174))</f>
        <v/>
      </c>
      <c r="Q174" s="19">
</c>
      <c r="R174" s="9" cm="1" t="str">
        <f t="array" ref="R174">IF(C174="","",ROUND(Q174/1000000,3)&amp;" M€")</f>
        <v/>
      </c>
      <c r="S174" s="20">
</c>
      <c r="T174" s="9" cm="1" t="str">
        <f t="array" ref="T174">IF(C174="","",SUBSTITUTE(S174,"","")&amp;"%")</f>
        <v/>
      </c>
      <c r="U174" s="11" cm="1" t="str">
        <f t="array" ref="U174">IF(($N174="")*($P174=""),"",IF(($N174&lt;&gt;"")*($N174&gt;TODAY()-9)*($N174&lt;TODAY()+1)*($P174&lt;&gt;"")*($P174&gt;=TODAY())*($P174&lt;=TODAY()+13),"Semaine passée &amp; à venir",IF(($N174&lt;&gt;"")*($N174&gt;TODAY()-9)*($N174&lt;TODAY()+1),"Semaine passée",IF(($P174&lt;&gt;"")*($P174&gt;=TODAY())*($P174&lt;=TODAY()+13),"À venir","Autre"))))</f>
        <v/>
      </c>
      <c r="V174" cm="1" t="n">
        <f t="array" ref="V174">IF(C174&lt;&gt;"",1,0)</f>
        <v>0</v>
      </c>
    </row>
    <row r="175" ht="78.75" customHeight="1">
      <c r="A175" s="16">
</c>
      <c r="B175" s="12">
</c>
      <c r="C175" s="10">
</c>
      <c r="D175" s="17">
</c>
      <c r="E175" s="12">
</c>
      <c r="F175" s="12">
</c>
      <c r="G175" s="11" cm="1" t="str">
        <f t="array" ref="G175">IF(F175="","",SUBSTITUTE(SUBSTITUTE(SUBSTITUTE(SUBSTITUTE(F175,"&lt;li&gt;",CHAR(10)),"&lt;/li&gt;",""),"&lt;br&gt;",CHAR(10)),"&lt;strong&gt;",""))</f>
        <v/>
      </c>
      <c r="H175" s="11" cm="1" t="str">
        <f t="array" ref="H175">IF(G175="","",SUBSTITUTE(SUBSTITUTE(SUBSTITUTE(SUBSTITUTE(SUBSTITUTE(G175,"&lt;p&gt;",""),"&lt;/p&gt;",""),"&lt;ul&gt;",""),"&lt;/ul&gt;",""),"&lt;/strong&gt;",""))</f>
        <v/>
      </c>
      <c r="I175" s="11" cm="1" t="str">
        <f t="array" ref="I175">IF(C175="","",IF(OR(H175="",H175=0,H175=FALSE),"-",H175))</f>
        <v/>
      </c>
      <c r="J175" s="12">
</c>
      <c r="K175" s="12">
</c>
      <c r="L175" s="9" cm="1" t="str">
        <f t="array" ref="L175">IF(C175="","",IF(K175="Mort / Plus rien à faire","KO","OK"))</f>
        <v/>
      </c>
      <c r="M175" s="18">
</c>
      <c r="N175" s="13" cm="1" t="str">
        <f t="array" ref="N175">IF(OR(C175="",M175="",M175=0),"",M175)</f>
        <v/>
      </c>
      <c r="O175" s="18">
</c>
      <c r="P175" s="13" cm="1" t="str">
        <f t="array" ref="P175">IF(C175="","",IF(OR(O175="",O175=0),"-",O175))</f>
        <v/>
      </c>
      <c r="Q175" s="19">
</c>
      <c r="R175" s="9" cm="1" t="str">
        <f t="array" ref="R175">IF(C175="","",ROUND(Q175/1000000,3)&amp;" M€")</f>
        <v/>
      </c>
      <c r="S175" s="20">
</c>
      <c r="T175" s="9" cm="1" t="str">
        <f t="array" ref="T175">IF(C175="","",SUBSTITUTE(S175,"","")&amp;"%")</f>
        <v/>
      </c>
      <c r="U175" s="11" cm="1" t="str">
        <f t="array" ref="U175">IF(($N175="")*($P175=""),"",IF(($N175&lt;&gt;"")*($N175&gt;TODAY()-9)*($N175&lt;TODAY()+1)*($P175&lt;&gt;"")*($P175&gt;=TODAY())*($P175&lt;=TODAY()+13),"Semaine passée &amp; à venir",IF(($N175&lt;&gt;"")*($N175&gt;TODAY()-9)*($N175&lt;TODAY()+1),"Semaine passée",IF(($P175&lt;&gt;"")*($P175&gt;=TODAY())*($P175&lt;=TODAY()+13),"À venir","Autre"))))</f>
        <v/>
      </c>
      <c r="V175" cm="1" t="n">
        <f t="array" ref="V175">IF(C175&lt;&gt;"",1,0)</f>
        <v>0</v>
      </c>
    </row>
    <row r="176" ht="78.75" customHeight="1">
      <c r="A176" s="16">
</c>
      <c r="B176" s="12">
</c>
      <c r="C176" s="10">
</c>
      <c r="D176" s="17">
</c>
      <c r="E176" s="12">
</c>
      <c r="F176" s="12">
</c>
      <c r="G176" s="11" cm="1" t="str">
        <f t="array" ref="G176">IF(F176="","",SUBSTITUTE(SUBSTITUTE(SUBSTITUTE(SUBSTITUTE(F176,"&lt;li&gt;",CHAR(10)),"&lt;/li&gt;",""),"&lt;br&gt;",CHAR(10)),"&lt;strong&gt;",""))</f>
        <v/>
      </c>
      <c r="H176" s="11" cm="1" t="str">
        <f t="array" ref="H176">IF(G176="","",SUBSTITUTE(SUBSTITUTE(SUBSTITUTE(SUBSTITUTE(SUBSTITUTE(G176,"&lt;p&gt;",""),"&lt;/p&gt;",""),"&lt;ul&gt;",""),"&lt;/ul&gt;",""),"&lt;/strong&gt;",""))</f>
        <v/>
      </c>
      <c r="I176" s="11" cm="1" t="str">
        <f t="array" ref="I176">IF(C176="","",IF(OR(H176="",H176=0,H176=FALSE),"-",H176))</f>
        <v/>
      </c>
      <c r="J176" s="12">
</c>
      <c r="K176" s="12">
</c>
      <c r="L176" s="9" cm="1" t="str">
        <f t="array" ref="L176">IF(C176="","",IF(K176="Mort / Plus rien à faire","KO","OK"))</f>
        <v/>
      </c>
      <c r="M176" s="18">
</c>
      <c r="N176" s="13" cm="1" t="str">
        <f t="array" ref="N176">IF(OR(C176="",M176="",M176=0),"",M176)</f>
        <v/>
      </c>
      <c r="O176" s="18">
</c>
      <c r="P176" s="13" cm="1" t="str">
        <f t="array" ref="P176">IF(C176="","",IF(OR(O176="",O176=0),"-",O176))</f>
        <v/>
      </c>
      <c r="Q176" s="19">
</c>
      <c r="R176" s="9" cm="1" t="str">
        <f t="array" ref="R176">IF(C176="","",ROUND(Q176/1000000,3)&amp;" M€")</f>
        <v/>
      </c>
      <c r="S176" s="20">
</c>
      <c r="T176" s="9" cm="1" t="str">
        <f t="array" ref="T176">IF(C176="","",SUBSTITUTE(S176,"","")&amp;"%")</f>
        <v/>
      </c>
      <c r="U176" s="11" cm="1" t="str">
        <f t="array" ref="U176">IF(($N176="")*($P176=""),"",IF(($N176&lt;&gt;"")*($N176&gt;TODAY()-9)*($N176&lt;TODAY()+1)*($P176&lt;&gt;"")*($P176&gt;=TODAY())*($P176&lt;=TODAY()+13),"Semaine passée &amp; à venir",IF(($N176&lt;&gt;"")*($N176&gt;TODAY()-9)*($N176&lt;TODAY()+1),"Semaine passée",IF(($P176&lt;&gt;"")*($P176&gt;=TODAY())*($P176&lt;=TODAY()+13),"À venir","Autre"))))</f>
        <v/>
      </c>
      <c r="V176" cm="1" t="n">
        <f t="array" ref="V176">IF(C176&lt;&gt;"",1,0)</f>
        <v>0</v>
      </c>
    </row>
    <row r="177" ht="78.75" customHeight="1">
      <c r="A177" s="16">
</c>
      <c r="B177" s="12">
</c>
      <c r="C177" s="10">
</c>
      <c r="D177" s="17">
</c>
      <c r="E177" s="12">
</c>
      <c r="F177" s="12">
</c>
      <c r="G177" s="11" cm="1" t="str">
        <f t="array" ref="G177">IF(F177="","",SUBSTITUTE(SUBSTITUTE(SUBSTITUTE(SUBSTITUTE(F177,"&lt;li&gt;",CHAR(10)),"&lt;/li&gt;",""),"&lt;br&gt;",CHAR(10)),"&lt;strong&gt;",""))</f>
        <v/>
      </c>
      <c r="H177" s="11" cm="1" t="str">
        <f t="array" ref="H177">IF(G177="","",SUBSTITUTE(SUBSTITUTE(SUBSTITUTE(SUBSTITUTE(SUBSTITUTE(G177,"&lt;p&gt;",""),"&lt;/p&gt;",""),"&lt;ul&gt;",""),"&lt;/ul&gt;",""),"&lt;/strong&gt;",""))</f>
        <v/>
      </c>
      <c r="I177" s="11" cm="1" t="str">
        <f t="array" ref="I177">IF(C177="","",IF(OR(H177="",H177=0,H177=FALSE),"-",H177))</f>
        <v/>
      </c>
      <c r="J177" s="12">
</c>
      <c r="K177" s="12">
</c>
      <c r="L177" s="9" cm="1" t="str">
        <f t="array" ref="L177">IF(C177="","",IF(K177="Mort / Plus rien à faire","KO","OK"))</f>
        <v/>
      </c>
      <c r="M177" s="18">
</c>
      <c r="N177" s="13" cm="1" t="str">
        <f t="array" ref="N177">IF(OR(C177="",M177="",M177=0),"",M177)</f>
        <v/>
      </c>
      <c r="O177" s="18">
</c>
      <c r="P177" s="13" cm="1" t="str">
        <f t="array" ref="P177">IF(C177="","",IF(OR(O177="",O177=0),"-",O177))</f>
        <v/>
      </c>
      <c r="Q177" s="19">
</c>
      <c r="R177" s="9" cm="1" t="str">
        <f t="array" ref="R177">IF(C177="","",ROUND(Q177/1000000,3)&amp;" M€")</f>
        <v/>
      </c>
      <c r="S177" s="20">
</c>
      <c r="T177" s="9" cm="1" t="str">
        <f t="array" ref="T177">IF(C177="","",SUBSTITUTE(S177,"","")&amp;"%")</f>
        <v/>
      </c>
      <c r="U177" s="11" cm="1" t="str">
        <f t="array" ref="U177">IF(($N177="")*($P177=""),"",IF(($N177&lt;&gt;"")*($N177&gt;TODAY()-9)*($N177&lt;TODAY()+1)*($P177&lt;&gt;"")*($P177&gt;=TODAY())*($P177&lt;=TODAY()+13),"Semaine passée &amp; à venir",IF(($N177&lt;&gt;"")*($N177&gt;TODAY()-9)*($N177&lt;TODAY()+1),"Semaine passée",IF(($P177&lt;&gt;"")*($P177&gt;=TODAY())*($P177&lt;=TODAY()+13),"À venir","Autre"))))</f>
        <v/>
      </c>
      <c r="V177" cm="1" t="n">
        <f t="array" ref="V177">IF(C177&lt;&gt;"",1,0)</f>
        <v>0</v>
      </c>
    </row>
    <row r="178" ht="78.75" customHeight="1">
      <c r="A178" s="16">
</c>
      <c r="B178" s="12">
</c>
      <c r="C178" s="10">
</c>
      <c r="D178" s="17">
</c>
      <c r="E178" s="12">
</c>
      <c r="F178" s="12">
</c>
      <c r="G178" s="11" cm="1" t="str">
        <f t="array" ref="G178">IF(F178="","",SUBSTITUTE(SUBSTITUTE(SUBSTITUTE(SUBSTITUTE(F178,"&lt;li&gt;",CHAR(10)),"&lt;/li&gt;",""),"&lt;br&gt;",CHAR(10)),"&lt;strong&gt;",""))</f>
        <v/>
      </c>
      <c r="H178" s="11" cm="1" t="str">
        <f t="array" ref="H178">IF(G178="","",SUBSTITUTE(SUBSTITUTE(SUBSTITUTE(SUBSTITUTE(SUBSTITUTE(G178,"&lt;p&gt;",""),"&lt;/p&gt;",""),"&lt;ul&gt;",""),"&lt;/ul&gt;",""),"&lt;/strong&gt;",""))</f>
        <v/>
      </c>
      <c r="I178" s="11" cm="1" t="str">
        <f t="array" ref="I178">IF(C178="","",IF(OR(H178="",H178=0,H178=FALSE),"-",H178))</f>
        <v/>
      </c>
      <c r="J178" s="12">
</c>
      <c r="K178" s="12">
</c>
      <c r="L178" s="9" cm="1" t="str">
        <f t="array" ref="L178">IF(C178="","",IF(K178="Mort / Plus rien à faire","KO","OK"))</f>
        <v/>
      </c>
      <c r="M178" s="18">
</c>
      <c r="N178" s="13" cm="1" t="str">
        <f t="array" ref="N178">IF(OR(C178="",M178="",M178=0),"",M178)</f>
        <v/>
      </c>
      <c r="O178" s="18">
</c>
      <c r="P178" s="13" cm="1" t="str">
        <f t="array" ref="P178">IF(C178="","",IF(OR(O178="",O178=0),"-",O178))</f>
        <v/>
      </c>
      <c r="Q178" s="19">
</c>
      <c r="R178" s="9" cm="1" t="str">
        <f t="array" ref="R178">IF(C178="","",ROUND(Q178/1000000,3)&amp;" M€")</f>
        <v/>
      </c>
      <c r="S178" s="20">
</c>
      <c r="T178" s="9" cm="1" t="str">
        <f t="array" ref="T178">IF(C178="","",SUBSTITUTE(S178,"","")&amp;"%")</f>
        <v/>
      </c>
      <c r="U178" s="11" cm="1" t="str">
        <f t="array" ref="U178">IF(($N178="")*($P178=""),"",IF(($N178&lt;&gt;"")*($N178&gt;TODAY()-9)*($N178&lt;TODAY()+1)*($P178&lt;&gt;"")*($P178&gt;=TODAY())*($P178&lt;=TODAY()+13),"Semaine passée &amp; à venir",IF(($N178&lt;&gt;"")*($N178&gt;TODAY()-9)*($N178&lt;TODAY()+1),"Semaine passée",IF(($P178&lt;&gt;"")*($P178&gt;=TODAY())*($P178&lt;=TODAY()+13),"À venir","Autre"))))</f>
        <v/>
      </c>
      <c r="V178" cm="1" t="n">
        <f t="array" ref="V178">IF(C178&lt;&gt;"",1,0)</f>
        <v>0</v>
      </c>
    </row>
    <row r="179" ht="78.75" customHeight="1">
      <c r="A179" s="16">
</c>
      <c r="B179" s="12">
</c>
      <c r="C179" s="10">
</c>
      <c r="D179" s="17">
</c>
      <c r="E179" s="12">
</c>
      <c r="F179" s="12">
</c>
      <c r="G179" s="11" cm="1" t="str">
        <f t="array" ref="G179">IF(F179="","",SUBSTITUTE(SUBSTITUTE(SUBSTITUTE(SUBSTITUTE(F179,"&lt;li&gt;",CHAR(10)),"&lt;/li&gt;",""),"&lt;br&gt;",CHAR(10)),"&lt;strong&gt;",""))</f>
        <v/>
      </c>
      <c r="H179" s="11" cm="1" t="str">
        <f t="array" ref="H179">IF(G179="","",SUBSTITUTE(SUBSTITUTE(SUBSTITUTE(SUBSTITUTE(SUBSTITUTE(G179,"&lt;p&gt;",""),"&lt;/p&gt;",""),"&lt;ul&gt;",""),"&lt;/ul&gt;",""),"&lt;/strong&gt;",""))</f>
        <v/>
      </c>
      <c r="I179" s="11" cm="1" t="str">
        <f t="array" ref="I179">IF(C179="","",IF(OR(H179="",H179=0,H179=FALSE),"-",H179))</f>
        <v/>
      </c>
      <c r="J179" s="12">
</c>
      <c r="K179" s="12">
</c>
      <c r="L179" s="9" cm="1" t="str">
        <f t="array" ref="L179">IF(C179="","",IF(K179="Mort / Plus rien à faire","KO","OK"))</f>
        <v/>
      </c>
      <c r="M179" s="18">
</c>
      <c r="N179" s="13" cm="1" t="str">
        <f t="array" ref="N179">IF(OR(C179="",M179="",M179=0),"",M179)</f>
        <v/>
      </c>
      <c r="O179" s="18">
</c>
      <c r="P179" s="13" cm="1" t="str">
        <f t="array" ref="P179">IF(C179="","",IF(OR(O179="",O179=0),"-",O179))</f>
        <v/>
      </c>
      <c r="Q179" s="19">
</c>
      <c r="R179" s="9" cm="1" t="str">
        <f t="array" ref="R179">IF(C179="","",ROUND(Q179/1000000,3)&amp;" M€")</f>
        <v/>
      </c>
      <c r="S179" s="20">
</c>
      <c r="T179" s="9" cm="1" t="str">
        <f t="array" ref="T179">IF(C179="","",SUBSTITUTE(S179,"","")&amp;"%")</f>
        <v/>
      </c>
      <c r="U179" s="11" cm="1" t="str">
        <f t="array" ref="U179">IF(($N179="")*($P179=""),"",IF(($N179&lt;&gt;"")*($N179&gt;TODAY()-9)*($N179&lt;TODAY()+1)*($P179&lt;&gt;"")*($P179&gt;=TODAY())*($P179&lt;=TODAY()+13),"Semaine passée &amp; à venir",IF(($N179&lt;&gt;"")*($N179&gt;TODAY()-9)*($N179&lt;TODAY()+1),"Semaine passée",IF(($P179&lt;&gt;"")*($P179&gt;=TODAY())*($P179&lt;=TODAY()+13),"À venir","Autre"))))</f>
        <v/>
      </c>
      <c r="V179" cm="1" t="n">
        <f t="array" ref="V179">IF(C179&lt;&gt;"",1,0)</f>
        <v>0</v>
      </c>
    </row>
    <row r="180" ht="78.75" customHeight="1">
      <c r="A180" s="16">
</c>
      <c r="B180" s="12">
</c>
      <c r="C180" s="10">
</c>
      <c r="D180" s="17">
</c>
      <c r="E180" s="12">
</c>
      <c r="F180" s="12">
</c>
      <c r="G180" s="11" cm="1" t="str">
        <f t="array" ref="G180">IF(F180="","",SUBSTITUTE(SUBSTITUTE(SUBSTITUTE(SUBSTITUTE(F180,"&lt;li&gt;",CHAR(10)),"&lt;/li&gt;",""),"&lt;br&gt;",CHAR(10)),"&lt;strong&gt;",""))</f>
        <v/>
      </c>
      <c r="H180" s="11" cm="1" t="str">
        <f t="array" ref="H180">IF(G180="","",SUBSTITUTE(SUBSTITUTE(SUBSTITUTE(SUBSTITUTE(SUBSTITUTE(G180,"&lt;p&gt;",""),"&lt;/p&gt;",""),"&lt;ul&gt;",""),"&lt;/ul&gt;",""),"&lt;/strong&gt;",""))</f>
        <v/>
      </c>
      <c r="I180" s="11" cm="1" t="str">
        <f t="array" ref="I180">IF(C180="","",IF(OR(H180="",H180=0,H180=FALSE),"-",H180))</f>
        <v/>
      </c>
      <c r="J180" s="12">
</c>
      <c r="K180" s="12">
</c>
      <c r="L180" s="9" cm="1" t="str">
        <f t="array" ref="L180">IF(C180="","",IF(K180="Mort / Plus rien à faire","KO","OK"))</f>
        <v/>
      </c>
      <c r="M180" s="18">
</c>
      <c r="N180" s="13" cm="1" t="str">
        <f t="array" ref="N180">IF(OR(C180="",M180="",M180=0),"",M180)</f>
        <v/>
      </c>
      <c r="O180" s="18">
</c>
      <c r="P180" s="13" cm="1" t="str">
        <f t="array" ref="P180">IF(C180="","",IF(OR(O180="",O180=0),"-",O180))</f>
        <v/>
      </c>
      <c r="Q180" s="19">
</c>
      <c r="R180" s="9" cm="1" t="str">
        <f t="array" ref="R180">IF(C180="","",ROUND(Q180/1000000,3)&amp;" M€")</f>
        <v/>
      </c>
      <c r="S180" s="20">
</c>
      <c r="T180" s="9" cm="1" t="str">
        <f t="array" ref="T180">IF(C180="","",SUBSTITUTE(S180,"","")&amp;"%")</f>
        <v/>
      </c>
      <c r="U180" s="11" cm="1" t="str">
        <f t="array" ref="U180">IF(($N180="")*($P180=""),"",IF(($N180&lt;&gt;"")*($N180&gt;TODAY()-9)*($N180&lt;TODAY()+1)*($P180&lt;&gt;"")*($P180&gt;=TODAY())*($P180&lt;=TODAY()+13),"Semaine passée &amp; à venir",IF(($N180&lt;&gt;"")*($N180&gt;TODAY()-9)*($N180&lt;TODAY()+1),"Semaine passée",IF(($P180&lt;&gt;"")*($P180&gt;=TODAY())*($P180&lt;=TODAY()+13),"À venir","Autre"))))</f>
        <v/>
      </c>
      <c r="V180" cm="1" t="n">
        <f t="array" ref="V180">IF(C180&lt;&gt;"",1,0)</f>
        <v>0</v>
      </c>
    </row>
    <row r="181" ht="78.75" customHeight="1">
      <c r="A181" s="16">
</c>
      <c r="B181" s="12">
</c>
      <c r="C181" s="10">
</c>
      <c r="D181" s="17">
</c>
      <c r="E181" s="12">
</c>
      <c r="F181" s="12">
</c>
      <c r="G181" s="11" cm="1" t="str">
        <f t="array" ref="G181">IF(F181="","",SUBSTITUTE(SUBSTITUTE(SUBSTITUTE(SUBSTITUTE(F181,"&lt;li&gt;",CHAR(10)),"&lt;/li&gt;",""),"&lt;br&gt;",CHAR(10)),"&lt;strong&gt;",""))</f>
        <v/>
      </c>
      <c r="H181" s="11" cm="1" t="str">
        <f t="array" ref="H181">IF(G181="","",SUBSTITUTE(SUBSTITUTE(SUBSTITUTE(SUBSTITUTE(SUBSTITUTE(G181,"&lt;p&gt;",""),"&lt;/p&gt;",""),"&lt;ul&gt;",""),"&lt;/ul&gt;",""),"&lt;/strong&gt;",""))</f>
        <v/>
      </c>
      <c r="I181" s="11" cm="1" t="str">
        <f t="array" ref="I181">IF(C181="","",IF(OR(H181="",H181=0,H181=FALSE),"-",H181))</f>
        <v/>
      </c>
      <c r="J181" s="12">
</c>
      <c r="K181" s="12">
</c>
      <c r="L181" s="9" cm="1" t="str">
        <f t="array" ref="L181">IF(C181="","",IF(K181="Mort / Plus rien à faire","KO","OK"))</f>
        <v/>
      </c>
      <c r="M181" s="18">
</c>
      <c r="N181" s="13" cm="1" t="str">
        <f t="array" ref="N181">IF(OR(C181="",M181="",M181=0),"",M181)</f>
        <v/>
      </c>
      <c r="O181" s="18">
</c>
      <c r="P181" s="13" cm="1" t="str">
        <f t="array" ref="P181">IF(C181="","",IF(OR(O181="",O181=0),"-",O181))</f>
        <v/>
      </c>
      <c r="Q181" s="19">
</c>
      <c r="R181" s="9" cm="1" t="str">
        <f t="array" ref="R181">IF(C181="","",ROUND(Q181/1000000,3)&amp;" M€")</f>
        <v/>
      </c>
      <c r="S181" s="20">
</c>
      <c r="T181" s="9" cm="1" t="str">
        <f t="array" ref="T181">IF(C181="","",SUBSTITUTE(S181,"","")&amp;"%")</f>
        <v/>
      </c>
      <c r="U181" s="11" cm="1" t="str">
        <f t="array" ref="U181">IF(($N181="")*($P181=""),"",IF(($N181&lt;&gt;"")*($N181&gt;TODAY()-9)*($N181&lt;TODAY()+1)*($P181&lt;&gt;"")*($P181&gt;=TODAY())*($P181&lt;=TODAY()+13),"Semaine passée &amp; à venir",IF(($N181&lt;&gt;"")*($N181&gt;TODAY()-9)*($N181&lt;TODAY()+1),"Semaine passée",IF(($P181&lt;&gt;"")*($P181&gt;=TODAY())*($P181&lt;=TODAY()+13),"À venir","Autre"))))</f>
        <v/>
      </c>
      <c r="V181" cm="1" t="n">
        <f t="array" ref="V181">IF(C181&lt;&gt;"",1,0)</f>
        <v>0</v>
      </c>
    </row>
    <row r="182" ht="78.75" customHeight="1">
      <c r="A182" s="16">
</c>
      <c r="B182" s="12">
</c>
      <c r="C182" s="10">
</c>
      <c r="D182" s="17">
</c>
      <c r="E182" s="12">
</c>
      <c r="F182" s="12">
</c>
      <c r="G182" s="11" cm="1" t="str">
        <f t="array" ref="G182">IF(F182="","",SUBSTITUTE(SUBSTITUTE(SUBSTITUTE(SUBSTITUTE(F182,"&lt;li&gt;",CHAR(10)),"&lt;/li&gt;",""),"&lt;br&gt;",CHAR(10)),"&lt;strong&gt;",""))</f>
        <v/>
      </c>
      <c r="H182" s="11" cm="1" t="str">
        <f t="array" ref="H182">IF(G182="","",SUBSTITUTE(SUBSTITUTE(SUBSTITUTE(SUBSTITUTE(SUBSTITUTE(G182,"&lt;p&gt;",""),"&lt;/p&gt;",""),"&lt;ul&gt;",""),"&lt;/ul&gt;",""),"&lt;/strong&gt;",""))</f>
        <v/>
      </c>
      <c r="I182" s="11" cm="1" t="str">
        <f t="array" ref="I182">IF(C182="","",IF(OR(H182="",H182=0,H182=FALSE),"-",H182))</f>
        <v/>
      </c>
      <c r="J182" s="12">
</c>
      <c r="K182" s="12">
</c>
      <c r="L182" s="9" cm="1" t="str">
        <f t="array" ref="L182">IF(C182="","",IF(K182="Mort / Plus rien à faire","KO","OK"))</f>
        <v/>
      </c>
      <c r="M182" s="18">
</c>
      <c r="N182" s="13" cm="1" t="str">
        <f t="array" ref="N182">IF(OR(C182="",M182="",M182=0),"",M182)</f>
        <v/>
      </c>
      <c r="O182" s="18">
</c>
      <c r="P182" s="13" cm="1" t="str">
        <f t="array" ref="P182">IF(C182="","",IF(OR(O182="",O182=0),"-",O182))</f>
        <v/>
      </c>
      <c r="Q182" s="19">
</c>
      <c r="R182" s="9" cm="1" t="str">
        <f t="array" ref="R182">IF(C182="","",ROUND(Q182/1000000,3)&amp;" M€")</f>
        <v/>
      </c>
      <c r="S182" s="20">
</c>
      <c r="T182" s="9" cm="1" t="str">
        <f t="array" ref="T182">IF(C182="","",SUBSTITUTE(S182,"","")&amp;"%")</f>
        <v/>
      </c>
      <c r="U182" s="11" cm="1" t="str">
        <f t="array" ref="U182">IF(($N182="")*($P182=""),"",IF(($N182&lt;&gt;"")*($N182&gt;TODAY()-9)*($N182&lt;TODAY()+1)*($P182&lt;&gt;"")*($P182&gt;=TODAY())*($P182&lt;=TODAY()+13),"Semaine passée &amp; à venir",IF(($N182&lt;&gt;"")*($N182&gt;TODAY()-9)*($N182&lt;TODAY()+1),"Semaine passée",IF(($P182&lt;&gt;"")*($P182&gt;=TODAY())*($P182&lt;=TODAY()+13),"À venir","Autre"))))</f>
        <v/>
      </c>
      <c r="V182" cm="1" t="n">
        <f t="array" ref="V182">IF(C182&lt;&gt;"",1,0)</f>
        <v>0</v>
      </c>
    </row>
    <row r="183" ht="78.75" customHeight="1">
      <c r="A183" s="16">
</c>
      <c r="B183" s="12">
</c>
      <c r="C183" s="10">
</c>
      <c r="D183" s="17">
</c>
      <c r="E183" s="12">
</c>
      <c r="F183" s="12">
</c>
      <c r="G183" s="11" cm="1" t="str">
        <f t="array" ref="G183">IF(F183="","",SUBSTITUTE(SUBSTITUTE(SUBSTITUTE(SUBSTITUTE(F183,"&lt;li&gt;",CHAR(10)),"&lt;/li&gt;",""),"&lt;br&gt;",CHAR(10)),"&lt;strong&gt;",""))</f>
        <v/>
      </c>
      <c r="H183" s="11" cm="1" t="str">
        <f t="array" ref="H183">IF(G183="","",SUBSTITUTE(SUBSTITUTE(SUBSTITUTE(SUBSTITUTE(SUBSTITUTE(G183,"&lt;p&gt;",""),"&lt;/p&gt;",""),"&lt;ul&gt;",""),"&lt;/ul&gt;",""),"&lt;/strong&gt;",""))</f>
        <v/>
      </c>
      <c r="I183" s="11" cm="1" t="str">
        <f t="array" ref="I183">IF(C183="","",IF(OR(H183="",H183=0,H183=FALSE),"-",H183))</f>
        <v/>
      </c>
      <c r="J183" s="12">
</c>
      <c r="K183" s="12">
</c>
      <c r="L183" s="9" cm="1" t="str">
        <f t="array" ref="L183">IF(C183="","",IF(K183="Mort / Plus rien à faire","KO","OK"))</f>
        <v/>
      </c>
      <c r="M183" s="18">
</c>
      <c r="N183" s="13" cm="1" t="str">
        <f t="array" ref="N183">IF(OR(C183="",M183="",M183=0),"",M183)</f>
        <v/>
      </c>
      <c r="O183" s="18">
</c>
      <c r="P183" s="13" cm="1" t="str">
        <f t="array" ref="P183">IF(C183="","",IF(OR(O183="",O183=0),"-",O183))</f>
        <v/>
      </c>
      <c r="Q183" s="19">
</c>
      <c r="R183" s="9" cm="1" t="str">
        <f t="array" ref="R183">IF(C183="","",ROUND(Q183/1000000,3)&amp;" M€")</f>
        <v/>
      </c>
      <c r="S183" s="20">
</c>
      <c r="T183" s="9" cm="1" t="str">
        <f t="array" ref="T183">IF(C183="","",SUBSTITUTE(S183,"","")&amp;"%")</f>
        <v/>
      </c>
      <c r="U183" s="11" cm="1" t="str">
        <f t="array" ref="U183">IF(($N183="")*($P183=""),"",IF(($N183&lt;&gt;"")*($N183&gt;TODAY()-9)*($N183&lt;TODAY()+1)*($P183&lt;&gt;"")*($P183&gt;=TODAY())*($P183&lt;=TODAY()+13),"Semaine passée &amp; à venir",IF(($N183&lt;&gt;"")*($N183&gt;TODAY()-9)*($N183&lt;TODAY()+1),"Semaine passée",IF(($P183&lt;&gt;"")*($P183&gt;=TODAY())*($P183&lt;=TODAY()+13),"À venir","Autre"))))</f>
        <v/>
      </c>
      <c r="V183" cm="1" t="n">
        <f t="array" ref="V183">IF(C183&lt;&gt;"",1,0)</f>
        <v>0</v>
      </c>
    </row>
    <row r="184" ht="78.75" customHeight="1">
      <c r="A184" s="16">
</c>
      <c r="B184" s="12">
</c>
      <c r="C184" s="10">
</c>
      <c r="D184" s="17">
</c>
      <c r="E184" s="12">
</c>
      <c r="F184" s="12">
</c>
      <c r="G184" s="11" cm="1" t="str">
        <f t="array" ref="G184">IF(F184="","",SUBSTITUTE(SUBSTITUTE(SUBSTITUTE(SUBSTITUTE(F184,"&lt;li&gt;",CHAR(10)),"&lt;/li&gt;",""),"&lt;br&gt;",CHAR(10)),"&lt;strong&gt;",""))</f>
        <v/>
      </c>
      <c r="H184" s="11" cm="1" t="str">
        <f t="array" ref="H184">IF(G184="","",SUBSTITUTE(SUBSTITUTE(SUBSTITUTE(SUBSTITUTE(SUBSTITUTE(G184,"&lt;p&gt;",""),"&lt;/p&gt;",""),"&lt;ul&gt;",""),"&lt;/ul&gt;",""),"&lt;/strong&gt;",""))</f>
        <v/>
      </c>
      <c r="I184" s="11" cm="1" t="str">
        <f t="array" ref="I184">IF(C184="","",IF(OR(H184="",H184=0,H184=FALSE),"-",H184))</f>
        <v/>
      </c>
      <c r="J184" s="12">
</c>
      <c r="K184" s="12">
</c>
      <c r="L184" s="9" cm="1" t="str">
        <f t="array" ref="L184">IF(C184="","",IF(K184="Mort / Plus rien à faire","KO","OK"))</f>
        <v/>
      </c>
      <c r="M184" s="18">
</c>
      <c r="N184" s="13" cm="1" t="str">
        <f t="array" ref="N184">IF(OR(C184="",M184="",M184=0),"",M184)</f>
        <v/>
      </c>
      <c r="O184" s="18">
</c>
      <c r="P184" s="13" cm="1" t="str">
        <f t="array" ref="P184">IF(C184="","",IF(OR(O184="",O184=0),"-",O184))</f>
        <v/>
      </c>
      <c r="Q184" s="19">
</c>
      <c r="R184" s="9" cm="1" t="str">
        <f t="array" ref="R184">IF(C184="","",ROUND(Q184/1000000,3)&amp;" M€")</f>
        <v/>
      </c>
      <c r="S184" s="20">
</c>
      <c r="T184" s="9" cm="1" t="str">
        <f t="array" ref="T184">IF(C184="","",SUBSTITUTE(S184,"","")&amp;"%")</f>
        <v/>
      </c>
      <c r="U184" s="11" cm="1" t="str">
        <f t="array" ref="U184">IF(($N184="")*($P184=""),"",IF(($N184&lt;&gt;"")*($N184&gt;TODAY()-9)*($N184&lt;TODAY()+1)*($P184&lt;&gt;"")*($P184&gt;=TODAY())*($P184&lt;=TODAY()+13),"Semaine passée &amp; à venir",IF(($N184&lt;&gt;"")*($N184&gt;TODAY()-9)*($N184&lt;TODAY()+1),"Semaine passée",IF(($P184&lt;&gt;"")*($P184&gt;=TODAY())*($P184&lt;=TODAY()+13),"À venir","Autre"))))</f>
        <v/>
      </c>
      <c r="V184" cm="1" t="n">
        <f t="array" ref="V184">IF(C184&lt;&gt;"",1,0)</f>
        <v>0</v>
      </c>
    </row>
    <row r="185" ht="78.75" customHeight="1">
      <c r="A185" s="16">
</c>
      <c r="B185" s="12">
</c>
      <c r="C185" s="10">
</c>
      <c r="D185" s="17">
</c>
      <c r="E185" s="12">
</c>
      <c r="F185" s="12">
</c>
      <c r="G185" s="11" cm="1" t="str">
        <f t="array" ref="G185">IF(F185="","",SUBSTITUTE(SUBSTITUTE(SUBSTITUTE(SUBSTITUTE(F185,"&lt;li&gt;",CHAR(10)),"&lt;/li&gt;",""),"&lt;br&gt;",CHAR(10)),"&lt;strong&gt;",""))</f>
        <v/>
      </c>
      <c r="H185" s="11" cm="1" t="str">
        <f t="array" ref="H185">IF(G185="","",SUBSTITUTE(SUBSTITUTE(SUBSTITUTE(SUBSTITUTE(SUBSTITUTE(G185,"&lt;p&gt;",""),"&lt;/p&gt;",""),"&lt;ul&gt;",""),"&lt;/ul&gt;",""),"&lt;/strong&gt;",""))</f>
        <v/>
      </c>
      <c r="I185" s="11" cm="1" t="str">
        <f t="array" ref="I185">IF(C185="","",IF(OR(H185="",H185=0,H185=FALSE),"-",H185))</f>
        <v/>
      </c>
      <c r="J185" s="12">
</c>
      <c r="K185" s="12">
</c>
      <c r="L185" s="9" cm="1" t="str">
        <f t="array" ref="L185">IF(C185="","",IF(K185="Mort / Plus rien à faire","KO","OK"))</f>
        <v/>
      </c>
      <c r="M185" s="18">
</c>
      <c r="N185" s="13" cm="1" t="str">
        <f t="array" ref="N185">IF(OR(C185="",M185="",M185=0),"",M185)</f>
        <v/>
      </c>
      <c r="O185" s="18">
</c>
      <c r="P185" s="13" cm="1" t="str">
        <f t="array" ref="P185">IF(C185="","",IF(OR(O185="",O185=0),"-",O185))</f>
        <v/>
      </c>
      <c r="Q185" s="19">
</c>
      <c r="R185" s="9" cm="1" t="str">
        <f t="array" ref="R185">IF(C185="","",ROUND(Q185/1000000,3)&amp;" M€")</f>
        <v/>
      </c>
      <c r="S185" s="20">
</c>
      <c r="T185" s="9" cm="1" t="str">
        <f t="array" ref="T185">IF(C185="","",SUBSTITUTE(S185,"","")&amp;"%")</f>
        <v/>
      </c>
      <c r="U185" s="11" cm="1" t="str">
        <f t="array" ref="U185">IF(($N185="")*($P185=""),"",IF(($N185&lt;&gt;"")*($N185&gt;TODAY()-9)*($N185&lt;TODAY()+1)*($P185&lt;&gt;"")*($P185&gt;=TODAY())*($P185&lt;=TODAY()+13),"Semaine passée &amp; à venir",IF(($N185&lt;&gt;"")*($N185&gt;TODAY()-9)*($N185&lt;TODAY()+1),"Semaine passée",IF(($P185&lt;&gt;"")*($P185&gt;=TODAY())*($P185&lt;=TODAY()+13),"À venir","Autre"))))</f>
        <v/>
      </c>
      <c r="V185" cm="1" t="n">
        <f t="array" ref="V185">IF(C185&lt;&gt;"",1,0)</f>
        <v>0</v>
      </c>
    </row>
    <row r="186" ht="78.75" customHeight="1">
      <c r="A186" s="16">
</c>
      <c r="B186" s="12">
</c>
      <c r="C186" s="10">
</c>
      <c r="D186" s="17">
</c>
      <c r="E186" s="12">
</c>
      <c r="F186" s="12">
</c>
      <c r="G186" s="11" cm="1" t="str">
        <f t="array" ref="G186">IF(F186="","",SUBSTITUTE(SUBSTITUTE(SUBSTITUTE(SUBSTITUTE(F186,"&lt;li&gt;",CHAR(10)),"&lt;/li&gt;",""),"&lt;br&gt;",CHAR(10)),"&lt;strong&gt;",""))</f>
        <v/>
      </c>
      <c r="H186" s="11" cm="1" t="str">
        <f t="array" ref="H186">IF(G186="","",SUBSTITUTE(SUBSTITUTE(SUBSTITUTE(SUBSTITUTE(SUBSTITUTE(G186,"&lt;p&gt;",""),"&lt;/p&gt;",""),"&lt;ul&gt;",""),"&lt;/ul&gt;",""),"&lt;/strong&gt;",""))</f>
        <v/>
      </c>
      <c r="I186" s="11" cm="1" t="str">
        <f t="array" ref="I186">IF(C186="","",IF(OR(H186="",H186=0,H186=FALSE),"-",H186))</f>
        <v/>
      </c>
      <c r="J186" s="12">
</c>
      <c r="K186" s="12">
</c>
      <c r="L186" s="9" cm="1" t="str">
        <f t="array" ref="L186">IF(C186="","",IF(K186="Mort / Plus rien à faire","KO","OK"))</f>
        <v/>
      </c>
      <c r="M186" s="18">
</c>
      <c r="N186" s="13" cm="1" t="str">
        <f t="array" ref="N186">IF(OR(C186="",M186="",M186=0),"",M186)</f>
        <v/>
      </c>
      <c r="O186" s="18">
</c>
      <c r="P186" s="13" cm="1" t="str">
        <f t="array" ref="P186">IF(C186="","",IF(OR(O186="",O186=0),"-",O186))</f>
        <v/>
      </c>
      <c r="Q186" s="19">
</c>
      <c r="R186" s="9" cm="1" t="str">
        <f t="array" ref="R186">IF(C186="","",ROUND(Q186/1000000,3)&amp;" M€")</f>
        <v/>
      </c>
      <c r="S186" s="20">
</c>
      <c r="T186" s="9" cm="1" t="str">
        <f t="array" ref="T186">IF(C186="","",SUBSTITUTE(S186,"","")&amp;"%")</f>
        <v/>
      </c>
      <c r="U186" s="11" cm="1" t="str">
        <f t="array" ref="U186">IF(($N186="")*($P186=""),"",IF(($N186&lt;&gt;"")*($N186&gt;TODAY()-9)*($N186&lt;TODAY()+1)*($P186&lt;&gt;"")*($P186&gt;=TODAY())*($P186&lt;=TODAY()+13),"Semaine passée &amp; à venir",IF(($N186&lt;&gt;"")*($N186&gt;TODAY()-9)*($N186&lt;TODAY()+1),"Semaine passée",IF(($P186&lt;&gt;"")*($P186&gt;=TODAY())*($P186&lt;=TODAY()+13),"À venir","Autre"))))</f>
        <v/>
      </c>
      <c r="V186" cm="1" t="n">
        <f t="array" ref="V186">IF(C186&lt;&gt;"",1,0)</f>
        <v>0</v>
      </c>
    </row>
    <row r="187" ht="78.75" customHeight="1">
      <c r="A187" s="16">
</c>
      <c r="B187" s="12">
</c>
      <c r="C187" s="10">
</c>
      <c r="D187" s="17">
</c>
      <c r="E187" s="12">
</c>
      <c r="F187" s="12">
</c>
      <c r="G187" s="11" cm="1" t="str">
        <f t="array" ref="G187">IF(F187="","",SUBSTITUTE(SUBSTITUTE(SUBSTITUTE(SUBSTITUTE(F187,"&lt;li&gt;",CHAR(10)),"&lt;/li&gt;",""),"&lt;br&gt;",CHAR(10)),"&lt;strong&gt;",""))</f>
        <v/>
      </c>
      <c r="H187" s="11" cm="1" t="str">
        <f t="array" ref="H187">IF(G187="","",SUBSTITUTE(SUBSTITUTE(SUBSTITUTE(SUBSTITUTE(SUBSTITUTE(G187,"&lt;p&gt;",""),"&lt;/p&gt;",""),"&lt;ul&gt;",""),"&lt;/ul&gt;",""),"&lt;/strong&gt;",""))</f>
        <v/>
      </c>
      <c r="I187" s="11" cm="1" t="str">
        <f t="array" ref="I187">IF(C187="","",IF(OR(H187="",H187=0,H187=FALSE),"-",H187))</f>
        <v/>
      </c>
      <c r="J187" s="12">
</c>
      <c r="K187" s="12">
</c>
      <c r="L187" s="9" cm="1" t="str">
        <f t="array" ref="L187">IF(C187="","",IF(K187="Mort / Plus rien à faire","KO","OK"))</f>
        <v/>
      </c>
      <c r="M187" s="18">
</c>
      <c r="N187" s="13" cm="1" t="str">
        <f t="array" ref="N187">IF(OR(C187="",M187="",M187=0),"",M187)</f>
        <v/>
      </c>
      <c r="O187" s="18">
</c>
      <c r="P187" s="13" cm="1" t="str">
        <f t="array" ref="P187">IF(C187="","",IF(OR(O187="",O187=0),"-",O187))</f>
        <v/>
      </c>
      <c r="Q187" s="19">
</c>
      <c r="R187" s="9" cm="1" t="str">
        <f t="array" ref="R187">IF(C187="","",ROUND(Q187/1000000,3)&amp;" M€")</f>
        <v/>
      </c>
      <c r="S187" s="20">
</c>
      <c r="T187" s="9" cm="1" t="str">
        <f t="array" ref="T187">IF(C187="","",SUBSTITUTE(S187,"","")&amp;"%")</f>
        <v/>
      </c>
      <c r="U187" s="11" cm="1" t="str">
        <f t="array" ref="U187">IF(($N187="")*($P187=""),"",IF(($N187&lt;&gt;"")*($N187&gt;TODAY()-9)*($N187&lt;TODAY()+1)*($P187&lt;&gt;"")*($P187&gt;=TODAY())*($P187&lt;=TODAY()+13),"Semaine passée &amp; à venir",IF(($N187&lt;&gt;"")*($N187&gt;TODAY()-9)*($N187&lt;TODAY()+1),"Semaine passée",IF(($P187&lt;&gt;"")*($P187&gt;=TODAY())*($P187&lt;=TODAY()+13),"À venir","Autre"))))</f>
        <v/>
      </c>
      <c r="V187" cm="1" t="n">
        <f t="array" ref="V187">IF(C187&lt;&gt;"",1,0)</f>
        <v>0</v>
      </c>
    </row>
    <row r="188" ht="78.75" customHeight="1">
      <c r="A188" s="16">
</c>
      <c r="B188" s="12">
</c>
      <c r="C188" s="10">
</c>
      <c r="D188" s="17">
</c>
      <c r="E188" s="12">
</c>
      <c r="F188" s="12">
</c>
      <c r="G188" s="11" cm="1" t="str">
        <f t="array" ref="G188">IF(F188="","",SUBSTITUTE(SUBSTITUTE(SUBSTITUTE(SUBSTITUTE(F188,"&lt;li&gt;",CHAR(10)),"&lt;/li&gt;",""),"&lt;br&gt;",CHAR(10)),"&lt;strong&gt;",""))</f>
        <v/>
      </c>
      <c r="H188" s="11" cm="1" t="str">
        <f t="array" ref="H188">IF(G188="","",SUBSTITUTE(SUBSTITUTE(SUBSTITUTE(SUBSTITUTE(SUBSTITUTE(G188,"&lt;p&gt;",""),"&lt;/p&gt;",""),"&lt;ul&gt;",""),"&lt;/ul&gt;",""),"&lt;/strong&gt;",""))</f>
        <v/>
      </c>
      <c r="I188" s="11" cm="1" t="str">
        <f t="array" ref="I188">IF(C188="","",IF(OR(H188="",H188=0,H188=FALSE),"-",H188))</f>
        <v/>
      </c>
      <c r="J188" s="12">
</c>
      <c r="K188" s="12">
</c>
      <c r="L188" s="9" cm="1" t="str">
        <f t="array" ref="L188">IF(C188="","",IF(K188="Mort / Plus rien à faire","KO","OK"))</f>
        <v/>
      </c>
      <c r="M188" s="18">
</c>
      <c r="N188" s="13" cm="1" t="str">
        <f t="array" ref="N188">IF(OR(C188="",M188="",M188=0),"",M188)</f>
        <v/>
      </c>
      <c r="O188" s="18">
</c>
      <c r="P188" s="13" cm="1" t="str">
        <f t="array" ref="P188">IF(C188="","",IF(OR(O188="",O188=0),"-",O188))</f>
        <v/>
      </c>
      <c r="Q188" s="19">
</c>
      <c r="R188" s="9" cm="1" t="str">
        <f t="array" ref="R188">IF(C188="","",ROUND(Q188/1000000,3)&amp;" M€")</f>
        <v/>
      </c>
      <c r="S188" s="20">
</c>
      <c r="T188" s="9" cm="1" t="str">
        <f t="array" ref="T188">IF(C188="","",SUBSTITUTE(S188,"","")&amp;"%")</f>
        <v/>
      </c>
      <c r="U188" s="11" cm="1" t="str">
        <f t="array" ref="U188">IF(($N188="")*($P188=""),"",IF(($N188&lt;&gt;"")*($N188&gt;TODAY()-9)*($N188&lt;TODAY()+1)*($P188&lt;&gt;"")*($P188&gt;=TODAY())*($P188&lt;=TODAY()+13),"Semaine passée &amp; à venir",IF(($N188&lt;&gt;"")*($N188&gt;TODAY()-9)*($N188&lt;TODAY()+1),"Semaine passée",IF(($P188&lt;&gt;"")*($P188&gt;=TODAY())*($P188&lt;=TODAY()+13),"À venir","Autre"))))</f>
        <v/>
      </c>
      <c r="V188" cm="1" t="n">
        <f t="array" ref="V188">IF(C188&lt;&gt;"",1,0)</f>
        <v>0</v>
      </c>
    </row>
    <row r="189" ht="78.75" customHeight="1">
      <c r="A189" s="16">
</c>
      <c r="B189" s="12">
</c>
      <c r="C189" s="10">
</c>
      <c r="D189" s="17">
</c>
      <c r="E189" s="12">
</c>
      <c r="F189" s="12">
</c>
      <c r="G189" s="11" cm="1" t="str">
        <f t="array" ref="G189">IF(F189="","",SUBSTITUTE(SUBSTITUTE(SUBSTITUTE(SUBSTITUTE(F189,"&lt;li&gt;",CHAR(10)),"&lt;/li&gt;",""),"&lt;br&gt;",CHAR(10)),"&lt;strong&gt;",""))</f>
        <v/>
      </c>
      <c r="H189" s="11" cm="1" t="str">
        <f t="array" ref="H189">IF(G189="","",SUBSTITUTE(SUBSTITUTE(SUBSTITUTE(SUBSTITUTE(SUBSTITUTE(G189,"&lt;p&gt;",""),"&lt;/p&gt;",""),"&lt;ul&gt;",""),"&lt;/ul&gt;",""),"&lt;/strong&gt;",""))</f>
        <v/>
      </c>
      <c r="I189" s="11" cm="1" t="str">
        <f t="array" ref="I189">IF(C189="","",IF(OR(H189="",H189=0,H189=FALSE),"-",H189))</f>
        <v/>
      </c>
      <c r="J189" s="12">
</c>
      <c r="K189" s="12">
</c>
      <c r="L189" s="9" cm="1" t="str">
        <f t="array" ref="L189">IF(C189="","",IF(K189="Mort / Plus rien à faire","KO","OK"))</f>
        <v/>
      </c>
      <c r="M189" s="18">
</c>
      <c r="N189" s="13" cm="1" t="str">
        <f t="array" ref="N189">IF(OR(C189="",M189="",M189=0),"",M189)</f>
        <v/>
      </c>
      <c r="O189" s="18">
</c>
      <c r="P189" s="13" cm="1" t="str">
        <f t="array" ref="P189">IF(C189="","",IF(OR(O189="",O189=0),"-",O189))</f>
        <v/>
      </c>
      <c r="Q189" s="19">
</c>
      <c r="R189" s="9" cm="1" t="str">
        <f t="array" ref="R189">IF(C189="","",ROUND(Q189/1000000,3)&amp;" M€")</f>
        <v/>
      </c>
      <c r="S189" s="20">
</c>
      <c r="T189" s="9" cm="1" t="str">
        <f t="array" ref="T189">IF(C189="","",SUBSTITUTE(S189,"","")&amp;"%")</f>
        <v/>
      </c>
      <c r="U189" s="11" cm="1" t="str">
        <f t="array" ref="U189">IF(($N189="")*($P189=""),"",IF(($N189&lt;&gt;"")*($N189&gt;TODAY()-9)*($N189&lt;TODAY()+1)*($P189&lt;&gt;"")*($P189&gt;=TODAY())*($P189&lt;=TODAY()+13),"Semaine passée &amp; à venir",IF(($N189&lt;&gt;"")*($N189&gt;TODAY()-9)*($N189&lt;TODAY()+1),"Semaine passée",IF(($P189&lt;&gt;"")*($P189&gt;=TODAY())*($P189&lt;=TODAY()+13),"À venir","Autre"))))</f>
        <v/>
      </c>
      <c r="V189" cm="1" t="n">
        <f t="array" ref="V189">IF(C189&lt;&gt;"",1,0)</f>
        <v>0</v>
      </c>
    </row>
    <row r="190" ht="78.75" customHeight="1">
      <c r="A190" s="16">
</c>
      <c r="B190" s="12">
</c>
      <c r="C190" s="10">
</c>
      <c r="D190" s="17">
</c>
      <c r="E190" s="12">
</c>
      <c r="F190" s="12">
</c>
      <c r="G190" s="11" cm="1" t="str">
        <f t="array" ref="G190">IF(F190="","",SUBSTITUTE(SUBSTITUTE(SUBSTITUTE(SUBSTITUTE(F190,"&lt;li&gt;",CHAR(10)),"&lt;/li&gt;",""),"&lt;br&gt;",CHAR(10)),"&lt;strong&gt;",""))</f>
        <v/>
      </c>
      <c r="H190" s="11" cm="1" t="str">
        <f t="array" ref="H190">IF(G190="","",SUBSTITUTE(SUBSTITUTE(SUBSTITUTE(SUBSTITUTE(SUBSTITUTE(G190,"&lt;p&gt;",""),"&lt;/p&gt;",""),"&lt;ul&gt;",""),"&lt;/ul&gt;",""),"&lt;/strong&gt;",""))</f>
        <v/>
      </c>
      <c r="I190" s="11" cm="1" t="str">
        <f t="array" ref="I190">IF(C190="","",IF(OR(H190="",H190=0,H190=FALSE),"-",H190))</f>
        <v/>
      </c>
      <c r="J190" s="12">
</c>
      <c r="K190" s="12">
</c>
      <c r="L190" s="9" cm="1" t="str">
        <f t="array" ref="L190">IF(C190="","",IF(K190="Mort / Plus rien à faire","KO","OK"))</f>
        <v/>
      </c>
      <c r="M190" s="18">
</c>
      <c r="N190" s="13" cm="1" t="str">
        <f t="array" ref="N190">IF(OR(C190="",M190="",M190=0),"",M190)</f>
        <v/>
      </c>
      <c r="O190" s="18">
</c>
      <c r="P190" s="13" cm="1" t="str">
        <f t="array" ref="P190">IF(C190="","",IF(OR(O190="",O190=0),"-",O190))</f>
        <v/>
      </c>
      <c r="Q190" s="19">
</c>
      <c r="R190" s="9" cm="1" t="str">
        <f t="array" ref="R190">IF(C190="","",ROUND(Q190/1000000,3)&amp;" M€")</f>
        <v/>
      </c>
      <c r="S190" s="20">
</c>
      <c r="T190" s="9" cm="1" t="str">
        <f t="array" ref="T190">IF(C190="","",SUBSTITUTE(S190,"","")&amp;"%")</f>
        <v/>
      </c>
      <c r="U190" s="11" cm="1" t="str">
        <f t="array" ref="U190">IF(($N190="")*($P190=""),"",IF(($N190&lt;&gt;"")*($N190&gt;TODAY()-9)*($N190&lt;TODAY()+1)*($P190&lt;&gt;"")*($P190&gt;=TODAY())*($P190&lt;=TODAY()+13),"Semaine passée &amp; à venir",IF(($N190&lt;&gt;"")*($N190&gt;TODAY()-9)*($N190&lt;TODAY()+1),"Semaine passée",IF(($P190&lt;&gt;"")*($P190&gt;=TODAY())*($P190&lt;=TODAY()+13),"À venir","Autre"))))</f>
        <v/>
      </c>
      <c r="V190" cm="1" t="n">
        <f t="array" ref="V190">IF(C190&lt;&gt;"",1,0)</f>
        <v>0</v>
      </c>
    </row>
    <row r="191" ht="78.75" customHeight="1">
      <c r="A191" s="16">
</c>
      <c r="B191" s="12">
</c>
      <c r="C191" s="10">
</c>
      <c r="D191" s="17">
</c>
      <c r="E191" s="12">
</c>
      <c r="F191" s="12">
</c>
      <c r="G191" s="11" cm="1" t="str">
        <f t="array" ref="G191">IF(F191="","",SUBSTITUTE(SUBSTITUTE(SUBSTITUTE(SUBSTITUTE(F191,"&lt;li&gt;",CHAR(10)),"&lt;/li&gt;",""),"&lt;br&gt;",CHAR(10)),"&lt;strong&gt;",""))</f>
        <v/>
      </c>
      <c r="H191" s="11" cm="1" t="str">
        <f t="array" ref="H191">IF(G191="","",SUBSTITUTE(SUBSTITUTE(SUBSTITUTE(SUBSTITUTE(SUBSTITUTE(G191,"&lt;p&gt;",""),"&lt;/p&gt;",""),"&lt;ul&gt;",""),"&lt;/ul&gt;",""),"&lt;/strong&gt;",""))</f>
        <v/>
      </c>
      <c r="I191" s="11" cm="1" t="str">
        <f t="array" ref="I191">IF(C191="","",IF(OR(H191="",H191=0,H191=FALSE),"-",H191))</f>
        <v/>
      </c>
      <c r="J191" s="12">
</c>
      <c r="K191" s="12">
</c>
      <c r="L191" s="9" cm="1" t="str">
        <f t="array" ref="L191">IF(C191="","",IF(K191="Mort / Plus rien à faire","KO","OK"))</f>
        <v/>
      </c>
      <c r="M191" s="18">
</c>
      <c r="N191" s="13" cm="1" t="str">
        <f t="array" ref="N191">IF(OR(C191="",M191="",M191=0),"",M191)</f>
        <v/>
      </c>
      <c r="O191" s="18">
</c>
      <c r="P191" s="13" cm="1" t="str">
        <f t="array" ref="P191">IF(C191="","",IF(OR(O191="",O191=0),"-",O191))</f>
        <v/>
      </c>
      <c r="Q191" s="19">
</c>
      <c r="R191" s="9" cm="1" t="str">
        <f t="array" ref="R191">IF(C191="","",ROUND(Q191/1000000,3)&amp;" M€")</f>
        <v/>
      </c>
      <c r="S191" s="20">
</c>
      <c r="T191" s="9" cm="1" t="str">
        <f t="array" ref="T191">IF(C191="","",SUBSTITUTE(S191,"","")&amp;"%")</f>
        <v/>
      </c>
      <c r="U191" s="11" cm="1" t="str">
        <f t="array" ref="U191">IF(($N191="")*($P191=""),"",IF(($N191&lt;&gt;"")*($N191&gt;TODAY()-9)*($N191&lt;TODAY()+1)*($P191&lt;&gt;"")*($P191&gt;=TODAY())*($P191&lt;=TODAY()+13),"Semaine passée &amp; à venir",IF(($N191&lt;&gt;"")*($N191&gt;TODAY()-9)*($N191&lt;TODAY()+1),"Semaine passée",IF(($P191&lt;&gt;"")*($P191&gt;=TODAY())*($P191&lt;=TODAY()+13),"À venir","Autre"))))</f>
        <v/>
      </c>
      <c r="V191" cm="1" t="n">
        <f t="array" ref="V191">IF(C191&lt;&gt;"",1,0)</f>
        <v>0</v>
      </c>
    </row>
    <row r="192" ht="78.75" customHeight="1">
      <c r="A192" s="16">
</c>
      <c r="B192" s="12">
</c>
      <c r="C192" s="10">
</c>
      <c r="D192" s="17">
</c>
      <c r="E192" s="12">
</c>
      <c r="F192" s="12">
</c>
      <c r="G192" s="11" cm="1" t="str">
        <f t="array" ref="G192">IF(F192="","",SUBSTITUTE(SUBSTITUTE(SUBSTITUTE(SUBSTITUTE(F192,"&lt;li&gt;",CHAR(10)),"&lt;/li&gt;",""),"&lt;br&gt;",CHAR(10)),"&lt;strong&gt;",""))</f>
        <v/>
      </c>
      <c r="H192" s="11" cm="1" t="str">
        <f t="array" ref="H192">IF(G192="","",SUBSTITUTE(SUBSTITUTE(SUBSTITUTE(SUBSTITUTE(SUBSTITUTE(G192,"&lt;p&gt;",""),"&lt;/p&gt;",""),"&lt;ul&gt;",""),"&lt;/ul&gt;",""),"&lt;/strong&gt;",""))</f>
        <v/>
      </c>
      <c r="I192" s="11" cm="1" t="str">
        <f t="array" ref="I192">IF(C192="","",IF(OR(H192="",H192=0,H192=FALSE),"-",H192))</f>
        <v/>
      </c>
      <c r="J192" s="12">
</c>
      <c r="K192" s="12">
</c>
      <c r="L192" s="9" cm="1" t="str">
        <f t="array" ref="L192">IF(C192="","",IF(K192="Mort / Plus rien à faire","KO","OK"))</f>
        <v/>
      </c>
      <c r="M192" s="18">
</c>
      <c r="N192" s="13" cm="1" t="str">
        <f t="array" ref="N192">IF(OR(C192="",M192="",M192=0),"",M192)</f>
        <v/>
      </c>
      <c r="O192" s="18">
</c>
      <c r="P192" s="13" cm="1" t="str">
        <f t="array" ref="P192">IF(C192="","",IF(OR(O192="",O192=0),"-",O192))</f>
        <v/>
      </c>
      <c r="Q192" s="19">
</c>
      <c r="R192" s="9" cm="1" t="str">
        <f t="array" ref="R192">IF(C192="","",ROUND(Q192/1000000,3)&amp;" M€")</f>
        <v/>
      </c>
      <c r="S192" s="20">
</c>
      <c r="T192" s="9" cm="1" t="str">
        <f t="array" ref="T192">IF(C192="","",SUBSTITUTE(S192,"","")&amp;"%")</f>
        <v/>
      </c>
      <c r="U192" s="11" cm="1" t="str">
        <f t="array" ref="U192">IF(($N192="")*($P192=""),"",IF(($N192&lt;&gt;"")*($N192&gt;TODAY()-9)*($N192&lt;TODAY()+1)*($P192&lt;&gt;"")*($P192&gt;=TODAY())*($P192&lt;=TODAY()+13),"Semaine passée &amp; à venir",IF(($N192&lt;&gt;"")*($N192&gt;TODAY()-9)*($N192&lt;TODAY()+1),"Semaine passée",IF(($P192&lt;&gt;"")*($P192&gt;=TODAY())*($P192&lt;=TODAY()+13),"À venir","Autre"))))</f>
        <v/>
      </c>
      <c r="V192" cm="1" t="n">
        <f t="array" ref="V192">IF(C192&lt;&gt;"",1,0)</f>
        <v>0</v>
      </c>
    </row>
    <row r="193" ht="78.75" customHeight="1">
      <c r="A193" s="16">
</c>
      <c r="B193" s="12">
</c>
      <c r="C193" s="10">
</c>
      <c r="D193" s="17">
</c>
      <c r="E193" s="12">
</c>
      <c r="F193" s="12">
</c>
      <c r="G193" s="11" cm="1" t="str">
        <f t="array" ref="G193">IF(F193="","",SUBSTITUTE(SUBSTITUTE(SUBSTITUTE(SUBSTITUTE(F193,"&lt;li&gt;",CHAR(10)),"&lt;/li&gt;",""),"&lt;br&gt;",CHAR(10)),"&lt;strong&gt;",""))</f>
        <v/>
      </c>
      <c r="H193" s="11" cm="1" t="str">
        <f t="array" ref="H193">IF(G193="","",SUBSTITUTE(SUBSTITUTE(SUBSTITUTE(SUBSTITUTE(SUBSTITUTE(G193,"&lt;p&gt;",""),"&lt;/p&gt;",""),"&lt;ul&gt;",""),"&lt;/ul&gt;",""),"&lt;/strong&gt;",""))</f>
        <v/>
      </c>
      <c r="I193" s="11" cm="1" t="str">
        <f t="array" ref="I193">IF(C193="","",IF(OR(H193="",H193=0,H193=FALSE),"-",H193))</f>
        <v/>
      </c>
      <c r="J193" s="12">
</c>
      <c r="K193" s="12">
</c>
      <c r="L193" s="9" cm="1" t="str">
        <f t="array" ref="L193">IF(C193="","",IF(K193="Mort / Plus rien à faire","KO","OK"))</f>
        <v/>
      </c>
      <c r="M193" s="18">
</c>
      <c r="N193" s="13" cm="1" t="str">
        <f t="array" ref="N193">IF(OR(C193="",M193="",M193=0),"",M193)</f>
        <v/>
      </c>
      <c r="O193" s="18">
</c>
      <c r="P193" s="13" cm="1" t="str">
        <f t="array" ref="P193">IF(C193="","",IF(OR(O193="",O193=0),"-",O193))</f>
        <v/>
      </c>
      <c r="Q193" s="19">
</c>
      <c r="R193" s="9" cm="1" t="str">
        <f t="array" ref="R193">IF(C193="","",ROUND(Q193/1000000,3)&amp;" M€")</f>
        <v/>
      </c>
      <c r="S193" s="20">
</c>
      <c r="T193" s="9" cm="1" t="str">
        <f t="array" ref="T193">IF(C193="","",SUBSTITUTE(S193,"","")&amp;"%")</f>
        <v/>
      </c>
      <c r="U193" s="11" cm="1" t="str">
        <f t="array" ref="U193">IF(($N193="")*($P193=""),"",IF(($N193&lt;&gt;"")*($N193&gt;TODAY()-9)*($N193&lt;TODAY()+1)*($P193&lt;&gt;"")*($P193&gt;=TODAY())*($P193&lt;=TODAY()+13),"Semaine passée &amp; à venir",IF(($N193&lt;&gt;"")*($N193&gt;TODAY()-9)*($N193&lt;TODAY()+1),"Semaine passée",IF(($P193&lt;&gt;"")*($P193&gt;=TODAY())*($P193&lt;=TODAY()+13),"À venir","Autre"))))</f>
        <v/>
      </c>
      <c r="V193" cm="1" t="n">
        <f t="array" ref="V193">IF(C193&lt;&gt;"",1,0)</f>
        <v>0</v>
      </c>
    </row>
    <row r="194" ht="78.75" customHeight="1">
      <c r="A194" s="16">
</c>
      <c r="B194" s="12">
</c>
      <c r="C194" s="10">
</c>
      <c r="D194" s="17">
</c>
      <c r="E194" s="12">
</c>
      <c r="F194" s="12">
</c>
      <c r="G194" s="11" cm="1" t="str">
        <f t="array" ref="G194">IF(F194="","",SUBSTITUTE(SUBSTITUTE(SUBSTITUTE(SUBSTITUTE(F194,"&lt;li&gt;",CHAR(10)),"&lt;/li&gt;",""),"&lt;br&gt;",CHAR(10)),"&lt;strong&gt;",""))</f>
        <v/>
      </c>
      <c r="H194" s="11" cm="1" t="str">
        <f t="array" ref="H194">IF(G194="","",SUBSTITUTE(SUBSTITUTE(SUBSTITUTE(SUBSTITUTE(SUBSTITUTE(G194,"&lt;p&gt;",""),"&lt;/p&gt;",""),"&lt;ul&gt;",""),"&lt;/ul&gt;",""),"&lt;/strong&gt;",""))</f>
        <v/>
      </c>
      <c r="I194" s="11" cm="1" t="str">
        <f t="array" ref="I194">IF(C194="","",IF(OR(H194="",H194=0,H194=FALSE),"-",H194))</f>
        <v/>
      </c>
      <c r="J194" s="12">
</c>
      <c r="K194" s="12">
</c>
      <c r="L194" s="9" cm="1" t="str">
        <f t="array" ref="L194">IF(C194="","",IF(K194="Mort / Plus rien à faire","KO","OK"))</f>
        <v/>
      </c>
      <c r="M194" s="18">
</c>
      <c r="N194" s="13" cm="1" t="str">
        <f t="array" ref="N194">IF(OR(C194="",M194="",M194=0),"",M194)</f>
        <v/>
      </c>
      <c r="O194" s="18">
</c>
      <c r="P194" s="13" cm="1" t="str">
        <f t="array" ref="P194">IF(C194="","",IF(OR(O194="",O194=0),"-",O194))</f>
        <v/>
      </c>
      <c r="Q194" s="19">
</c>
      <c r="R194" s="9" cm="1" t="str">
        <f t="array" ref="R194">IF(C194="","",ROUND(Q194/1000000,3)&amp;" M€")</f>
        <v/>
      </c>
      <c r="S194" s="20">
</c>
      <c r="T194" s="9" cm="1" t="str">
        <f t="array" ref="T194">IF(C194="","",SUBSTITUTE(S194,"","")&amp;"%")</f>
        <v/>
      </c>
      <c r="U194" s="11" cm="1" t="str">
        <f t="array" ref="U194">IF(($N194="")*($P194=""),"",IF(($N194&lt;&gt;"")*($N194&gt;TODAY()-9)*($N194&lt;TODAY()+1)*($P194&lt;&gt;"")*($P194&gt;=TODAY())*($P194&lt;=TODAY()+13),"Semaine passée &amp; à venir",IF(($N194&lt;&gt;"")*($N194&gt;TODAY()-9)*($N194&lt;TODAY()+1),"Semaine passée",IF(($P194&lt;&gt;"")*($P194&gt;=TODAY())*($P194&lt;=TODAY()+13),"À venir","Autre"))))</f>
        <v/>
      </c>
      <c r="V194" cm="1" t="n">
        <f t="array" ref="V194">IF(C194&lt;&gt;"",1,0)</f>
        <v>0</v>
      </c>
    </row>
    <row r="195" ht="78.75" customHeight="1">
      <c r="A195" s="16">
</c>
      <c r="B195" s="12">
</c>
      <c r="C195" s="10">
</c>
      <c r="D195" s="17">
</c>
      <c r="E195" s="12">
</c>
      <c r="F195" s="12">
</c>
      <c r="G195" s="11" cm="1" t="str">
        <f t="array" ref="G195">IF(F195="","",SUBSTITUTE(SUBSTITUTE(SUBSTITUTE(SUBSTITUTE(F195,"&lt;li&gt;",CHAR(10)),"&lt;/li&gt;",""),"&lt;br&gt;",CHAR(10)),"&lt;strong&gt;",""))</f>
        <v/>
      </c>
      <c r="H195" s="11" cm="1" t="str">
        <f t="array" ref="H195">IF(G195="","",SUBSTITUTE(SUBSTITUTE(SUBSTITUTE(SUBSTITUTE(SUBSTITUTE(G195,"&lt;p&gt;",""),"&lt;/p&gt;",""),"&lt;ul&gt;",""),"&lt;/ul&gt;",""),"&lt;/strong&gt;",""))</f>
        <v/>
      </c>
      <c r="I195" s="11" cm="1" t="str">
        <f t="array" ref="I195">IF(C195="","",IF(OR(H195="",H195=0,H195=FALSE),"-",H195))</f>
        <v/>
      </c>
      <c r="J195" s="12">
</c>
      <c r="K195" s="12">
</c>
      <c r="L195" s="9" cm="1" t="str">
        <f t="array" ref="L195">IF(C195="","",IF(K195="Mort / Plus rien à faire","KO","OK"))</f>
        <v/>
      </c>
      <c r="M195" s="18">
</c>
      <c r="N195" s="13" cm="1" t="str">
        <f t="array" ref="N195">IF(OR(C195="",M195="",M195=0),"",M195)</f>
        <v/>
      </c>
      <c r="O195" s="18">
</c>
      <c r="P195" s="13" cm="1" t="str">
        <f t="array" ref="P195">IF(C195="","",IF(OR(O195="",O195=0),"-",O195))</f>
        <v/>
      </c>
      <c r="Q195" s="19">
</c>
      <c r="R195" s="9" cm="1" t="str">
        <f t="array" ref="R195">IF(C195="","",ROUND(Q195/1000000,3)&amp;" M€")</f>
        <v/>
      </c>
      <c r="S195" s="20">
</c>
      <c r="T195" s="9" cm="1" t="str">
        <f t="array" ref="T195">IF(C195="","",SUBSTITUTE(S195,"","")&amp;"%")</f>
        <v/>
      </c>
      <c r="U195" s="11" cm="1" t="str">
        <f t="array" ref="U195">IF(($N195="")*($P195=""),"",IF(($N195&lt;&gt;"")*($N195&gt;TODAY()-9)*($N195&lt;TODAY()+1)*($P195&lt;&gt;"")*($P195&gt;=TODAY())*($P195&lt;=TODAY()+13),"Semaine passée &amp; à venir",IF(($N195&lt;&gt;"")*($N195&gt;TODAY()-9)*($N195&lt;TODAY()+1),"Semaine passée",IF(($P195&lt;&gt;"")*($P195&gt;=TODAY())*($P195&lt;=TODAY()+13),"À venir","Autre"))))</f>
        <v/>
      </c>
      <c r="V195" cm="1" t="n">
        <f t="array" ref="V195">IF(C195&lt;&gt;"",1,0)</f>
        <v>0</v>
      </c>
    </row>
    <row r="196" ht="78.75" customHeight="1">
      <c r="A196" s="16">
</c>
      <c r="B196" s="12">
</c>
      <c r="C196" s="10">
</c>
      <c r="D196" s="17">
</c>
      <c r="E196" s="12">
</c>
      <c r="F196" s="12">
</c>
      <c r="G196" s="11" cm="1" t="str">
        <f t="array" ref="G196">IF(F196="","",SUBSTITUTE(SUBSTITUTE(SUBSTITUTE(SUBSTITUTE(F196,"&lt;li&gt;",CHAR(10)),"&lt;/li&gt;",""),"&lt;br&gt;",CHAR(10)),"&lt;strong&gt;",""))</f>
        <v/>
      </c>
      <c r="H196" s="11" cm="1" t="str">
        <f t="array" ref="H196">IF(G196="","",SUBSTITUTE(SUBSTITUTE(SUBSTITUTE(SUBSTITUTE(SUBSTITUTE(G196,"&lt;p&gt;",""),"&lt;/p&gt;",""),"&lt;ul&gt;",""),"&lt;/ul&gt;",""),"&lt;/strong&gt;",""))</f>
        <v/>
      </c>
      <c r="I196" s="11" cm="1" t="str">
        <f t="array" ref="I196">IF(C196="","",IF(OR(H196="",H196=0,H196=FALSE),"-",H196))</f>
        <v/>
      </c>
      <c r="J196" s="12">
</c>
      <c r="K196" s="12">
</c>
      <c r="L196" s="9" cm="1" t="str">
        <f t="array" ref="L196">IF(C196="","",IF(K196="Mort / Plus rien à faire","KO","OK"))</f>
        <v/>
      </c>
      <c r="M196" s="18">
</c>
      <c r="N196" s="13" cm="1" t="str">
        <f t="array" ref="N196">IF(OR(C196="",M196="",M196=0),"",M196)</f>
        <v/>
      </c>
      <c r="O196" s="18">
</c>
      <c r="P196" s="13" cm="1" t="str">
        <f t="array" ref="P196">IF(C196="","",IF(OR(O196="",O196=0),"-",O196))</f>
        <v/>
      </c>
      <c r="Q196" s="19">
</c>
      <c r="R196" s="9" cm="1" t="str">
        <f t="array" ref="R196">IF(C196="","",ROUND(Q196/1000000,3)&amp;" M€")</f>
        <v/>
      </c>
      <c r="S196" s="20">
</c>
      <c r="T196" s="9" cm="1" t="str">
        <f t="array" ref="T196">IF(C196="","",SUBSTITUTE(S196,"","")&amp;"%")</f>
        <v/>
      </c>
      <c r="U196" s="11" cm="1" t="str">
        <f t="array" ref="U196">IF(($N196="")*($P196=""),"",IF(($N196&lt;&gt;"")*($N196&gt;TODAY()-9)*($N196&lt;TODAY()+1)*($P196&lt;&gt;"")*($P196&gt;=TODAY())*($P196&lt;=TODAY()+13),"Semaine passée &amp; à venir",IF(($N196&lt;&gt;"")*($N196&gt;TODAY()-9)*($N196&lt;TODAY()+1),"Semaine passée",IF(($P196&lt;&gt;"")*($P196&gt;=TODAY())*($P196&lt;=TODAY()+13),"À venir","Autre"))))</f>
        <v/>
      </c>
      <c r="V196" cm="1" t="n">
        <f t="array" ref="V196">IF(C196&lt;&gt;"",1,0)</f>
        <v>0</v>
      </c>
    </row>
    <row r="197" ht="78.75" customHeight="1">
      <c r="A197" s="16">
</c>
      <c r="B197" s="12">
</c>
      <c r="C197" s="10">
</c>
      <c r="D197" s="17">
</c>
      <c r="E197" s="12">
</c>
      <c r="F197" s="12">
</c>
      <c r="G197" s="11" cm="1" t="str">
        <f t="array" ref="G197">IF(F197="","",SUBSTITUTE(SUBSTITUTE(SUBSTITUTE(SUBSTITUTE(F197,"&lt;li&gt;",CHAR(10)),"&lt;/li&gt;",""),"&lt;br&gt;",CHAR(10)),"&lt;strong&gt;",""))</f>
        <v/>
      </c>
      <c r="H197" s="11" cm="1" t="str">
        <f t="array" ref="H197">IF(G197="","",SUBSTITUTE(SUBSTITUTE(SUBSTITUTE(SUBSTITUTE(SUBSTITUTE(G197,"&lt;p&gt;",""),"&lt;/p&gt;",""),"&lt;ul&gt;",""),"&lt;/ul&gt;",""),"&lt;/strong&gt;",""))</f>
        <v/>
      </c>
      <c r="I197" s="11" cm="1" t="str">
        <f t="array" ref="I197">IF(C197="","",IF(OR(H197="",H197=0,H197=FALSE),"-",H197))</f>
        <v/>
      </c>
      <c r="J197" s="12">
</c>
      <c r="K197" s="12">
</c>
      <c r="L197" s="9" cm="1" t="str">
        <f t="array" ref="L197">IF(C197="","",IF(K197="Mort / Plus rien à faire","KO","OK"))</f>
        <v/>
      </c>
      <c r="M197" s="18">
</c>
      <c r="N197" s="13" cm="1" t="str">
        <f t="array" ref="N197">IF(OR(C197="",M197="",M197=0),"",M197)</f>
        <v/>
      </c>
      <c r="O197" s="18">
</c>
      <c r="P197" s="13" cm="1" t="str">
        <f t="array" ref="P197">IF(C197="","",IF(OR(O197="",O197=0),"-",O197))</f>
        <v/>
      </c>
      <c r="Q197" s="19">
</c>
      <c r="R197" s="9" cm="1" t="str">
        <f t="array" ref="R197">IF(C197="","",ROUND(Q197/1000000,3)&amp;" M€")</f>
        <v/>
      </c>
      <c r="S197" s="20">
</c>
      <c r="T197" s="9" cm="1" t="str">
        <f t="array" ref="T197">IF(C197="","",SUBSTITUTE(S197,"","")&amp;"%")</f>
        <v/>
      </c>
      <c r="U197" s="11" cm="1" t="str">
        <f t="array" ref="U197">IF(($N197="")*($P197=""),"",IF(($N197&lt;&gt;"")*($N197&gt;TODAY()-9)*($N197&lt;TODAY()+1)*($P197&lt;&gt;"")*($P197&gt;=TODAY())*($P197&lt;=TODAY()+13),"Semaine passée &amp; à venir",IF(($N197&lt;&gt;"")*($N197&gt;TODAY()-9)*($N197&lt;TODAY()+1),"Semaine passée",IF(($P197&lt;&gt;"")*($P197&gt;=TODAY())*($P197&lt;=TODAY()+13),"À venir","Autre"))))</f>
        <v/>
      </c>
      <c r="V197" cm="1" t="n">
        <f t="array" ref="V197">IF(C197&lt;&gt;"",1,0)</f>
        <v>0</v>
      </c>
    </row>
    <row r="198" ht="78.75" customHeight="1">
      <c r="A198" s="16">
</c>
      <c r="B198" s="12">
</c>
      <c r="C198" s="10">
</c>
      <c r="D198" s="17">
</c>
      <c r="E198" s="12">
</c>
      <c r="F198" s="12">
</c>
      <c r="G198" s="11" cm="1" t="str">
        <f t="array" ref="G198">IF(F198="","",SUBSTITUTE(SUBSTITUTE(SUBSTITUTE(SUBSTITUTE(F198,"&lt;li&gt;",CHAR(10)),"&lt;/li&gt;",""),"&lt;br&gt;",CHAR(10)),"&lt;strong&gt;",""))</f>
        <v/>
      </c>
      <c r="H198" s="11" cm="1" t="str">
        <f t="array" ref="H198">IF(G198="","",SUBSTITUTE(SUBSTITUTE(SUBSTITUTE(SUBSTITUTE(SUBSTITUTE(G198,"&lt;p&gt;",""),"&lt;/p&gt;",""),"&lt;ul&gt;",""),"&lt;/ul&gt;",""),"&lt;/strong&gt;",""))</f>
        <v/>
      </c>
      <c r="I198" s="11" cm="1" t="str">
        <f t="array" ref="I198">IF(C198="","",IF(OR(H198="",H198=0,H198=FALSE),"-",H198))</f>
        <v/>
      </c>
      <c r="J198" s="12">
</c>
      <c r="K198" s="12">
</c>
      <c r="L198" s="9" cm="1" t="str">
        <f t="array" ref="L198">IF(C198="","",IF(K198="Mort / Plus rien à faire","KO","OK"))</f>
        <v/>
      </c>
      <c r="M198" s="18">
</c>
      <c r="N198" s="13" cm="1" t="str">
        <f t="array" ref="N198">IF(OR(C198="",M198="",M198=0),"",M198)</f>
        <v/>
      </c>
      <c r="O198" s="18">
</c>
      <c r="P198" s="13" cm="1" t="str">
        <f t="array" ref="P198">IF(C198="","",IF(OR(O198="",O198=0),"-",O198))</f>
        <v/>
      </c>
      <c r="Q198" s="19">
</c>
      <c r="R198" s="9" cm="1" t="str">
        <f t="array" ref="R198">IF(C198="","",ROUND(Q198/1000000,3)&amp;" M€")</f>
        <v/>
      </c>
      <c r="S198" s="20">
</c>
      <c r="T198" s="9" cm="1" t="str">
        <f t="array" ref="T198">IF(C198="","",SUBSTITUTE(S198,"","")&amp;"%")</f>
        <v/>
      </c>
      <c r="U198" s="11" cm="1" t="str">
        <f t="array" ref="U198">IF(($N198="")*($P198=""),"",IF(($N198&lt;&gt;"")*($N198&gt;TODAY()-9)*($N198&lt;TODAY()+1)*($P198&lt;&gt;"")*($P198&gt;=TODAY())*($P198&lt;=TODAY()+13),"Semaine passée &amp; à venir",IF(($N198&lt;&gt;"")*($N198&gt;TODAY()-9)*($N198&lt;TODAY()+1),"Semaine passée",IF(($P198&lt;&gt;"")*($P198&gt;=TODAY())*($P198&lt;=TODAY()+13),"À venir","Autre"))))</f>
        <v/>
      </c>
      <c r="V198" cm="1" t="n">
        <f t="array" ref="V198">IF(C198&lt;&gt;"",1,0)</f>
        <v>0</v>
      </c>
    </row>
    <row r="199" ht="78.75" customHeight="1">
      <c r="A199" s="16">
</c>
      <c r="B199" s="12">
</c>
      <c r="C199" s="10">
</c>
      <c r="D199" s="17">
</c>
      <c r="E199" s="12">
</c>
      <c r="F199" s="12">
</c>
      <c r="G199" s="11" cm="1" t="str">
        <f t="array" ref="G199">IF(F199="","",SUBSTITUTE(SUBSTITUTE(SUBSTITUTE(SUBSTITUTE(F199,"&lt;li&gt;",CHAR(10)),"&lt;/li&gt;",""),"&lt;br&gt;",CHAR(10)),"&lt;strong&gt;",""))</f>
        <v/>
      </c>
      <c r="H199" s="11" cm="1" t="str">
        <f t="array" ref="H199">IF(G199="","",SUBSTITUTE(SUBSTITUTE(SUBSTITUTE(SUBSTITUTE(SUBSTITUTE(G199,"&lt;p&gt;",""),"&lt;/p&gt;",""),"&lt;ul&gt;",""),"&lt;/ul&gt;",""),"&lt;/strong&gt;",""))</f>
        <v/>
      </c>
      <c r="I199" s="11" cm="1" t="str">
        <f t="array" ref="I199">IF(C199="","",IF(OR(H199="",H199=0,H199=FALSE),"-",H199))</f>
        <v/>
      </c>
      <c r="J199" s="12">
</c>
      <c r="K199" s="12">
</c>
      <c r="L199" s="9" cm="1" t="str">
        <f t="array" ref="L199">IF(C199="","",IF(K199="Mort / Plus rien à faire","KO","OK"))</f>
        <v/>
      </c>
      <c r="M199" s="18">
</c>
      <c r="N199" s="13" cm="1" t="str">
        <f t="array" ref="N199">IF(OR(C199="",M199="",M199=0),"",M199)</f>
        <v/>
      </c>
      <c r="O199" s="18">
</c>
      <c r="P199" s="13" cm="1" t="str">
        <f t="array" ref="P199">IF(C199="","",IF(OR(O199="",O199=0),"-",O199))</f>
        <v/>
      </c>
      <c r="Q199" s="19">
</c>
      <c r="R199" s="9" cm="1" t="str">
        <f t="array" ref="R199">IF(C199="","",ROUND(Q199/1000000,3)&amp;" M€")</f>
        <v/>
      </c>
      <c r="S199" s="20">
</c>
      <c r="T199" s="9" cm="1" t="str">
        <f t="array" ref="T199">IF(C199="","",SUBSTITUTE(S199,"","")&amp;"%")</f>
        <v/>
      </c>
      <c r="U199" s="11" cm="1" t="str">
        <f t="array" ref="U199">IF(($N199="")*($P199=""),"",IF(($N199&lt;&gt;"")*($N199&gt;TODAY()-9)*($N199&lt;TODAY()+1)*($P199&lt;&gt;"")*($P199&gt;=TODAY())*($P199&lt;=TODAY()+13),"Semaine passée &amp; à venir",IF(($N199&lt;&gt;"")*($N199&gt;TODAY()-9)*($N199&lt;TODAY()+1),"Semaine passée",IF(($P199&lt;&gt;"")*($P199&gt;=TODAY())*($P199&lt;=TODAY()+13),"À venir","Autre"))))</f>
        <v/>
      </c>
      <c r="V199" cm="1" t="n">
        <f t="array" ref="V199">IF(C199&lt;&gt;"",1,0)</f>
        <v>0</v>
      </c>
    </row>
    <row r="200" ht="78.75" customHeight="1">
      <c r="A200" s="16">
</c>
      <c r="B200" s="12">
</c>
      <c r="C200" s="10">
</c>
      <c r="D200" s="17">
</c>
      <c r="E200" s="12">
</c>
      <c r="F200" s="12">
</c>
      <c r="G200" s="11" cm="1" t="str">
        <f t="array" ref="G200">IF(F200="","",SUBSTITUTE(SUBSTITUTE(SUBSTITUTE(SUBSTITUTE(F200,"&lt;li&gt;",CHAR(10)),"&lt;/li&gt;",""),"&lt;br&gt;",CHAR(10)),"&lt;strong&gt;",""))</f>
        <v/>
      </c>
      <c r="H200" s="11" cm="1" t="str">
        <f t="array" ref="H200">IF(G200="","",SUBSTITUTE(SUBSTITUTE(SUBSTITUTE(SUBSTITUTE(SUBSTITUTE(G200,"&lt;p&gt;",""),"&lt;/p&gt;",""),"&lt;ul&gt;",""),"&lt;/ul&gt;",""),"&lt;/strong&gt;",""))</f>
        <v/>
      </c>
      <c r="I200" s="11" cm="1" t="str">
        <f t="array" ref="I200">IF(C200="","",IF(OR(H200="",H200=0,H200=FALSE),"-",H200))</f>
        <v/>
      </c>
      <c r="J200" s="12">
</c>
      <c r="K200" s="12">
</c>
      <c r="L200" s="9" cm="1" t="str">
        <f t="array" ref="L200">IF(C200="","",IF(K200="Mort / Plus rien à faire","KO","OK"))</f>
        <v/>
      </c>
      <c r="M200" s="18">
</c>
      <c r="N200" s="13" cm="1" t="str">
        <f t="array" ref="N200">IF(OR(C200="",M200="",M200=0),"",M200)</f>
        <v/>
      </c>
      <c r="O200" s="18">
</c>
      <c r="P200" s="13" cm="1" t="str">
        <f t="array" ref="P200">IF(C200="","",IF(OR(O200="",O200=0),"-",O200))</f>
        <v/>
      </c>
      <c r="Q200" s="19">
</c>
      <c r="R200" s="9" cm="1" t="str">
        <f t="array" ref="R200">IF(C200="","",ROUND(Q200/1000000,3)&amp;" M€")</f>
        <v/>
      </c>
      <c r="S200" s="20">
</c>
      <c r="T200" s="9" cm="1" t="str">
        <f t="array" ref="T200">IF(C200="","",SUBSTITUTE(S200,"","")&amp;"%")</f>
        <v/>
      </c>
      <c r="U200" s="11" cm="1" t="str">
        <f t="array" ref="U200">IF(($N200="")*($P200=""),"",IF(($N200&lt;&gt;"")*($N200&gt;TODAY()-9)*($N200&lt;TODAY()+1)*($P200&lt;&gt;"")*($P200&gt;=TODAY())*($P200&lt;=TODAY()+13),"Semaine passée &amp; à venir",IF(($N200&lt;&gt;"")*($N200&gt;TODAY()-9)*($N200&lt;TODAY()+1),"Semaine passée",IF(($P200&lt;&gt;"")*($P200&gt;=TODAY())*($P200&lt;=TODAY()+13),"À venir","Autre"))))</f>
        <v/>
      </c>
      <c r="V200" cm="1" t="n">
        <f t="array" ref="V200">IF(C200&lt;&gt;"",1,0)</f>
        <v>0</v>
      </c>
    </row>
    <row r="201" ht="78.75" customHeight="1">
      <c r="A201" s="16">
</c>
      <c r="B201" s="12">
</c>
      <c r="C201" s="10">
</c>
      <c r="D201" s="17">
</c>
      <c r="E201" s="12">
</c>
      <c r="F201" s="12">
</c>
      <c r="G201" s="11" cm="1" t="str">
        <f t="array" ref="G201">IF(F201="","",SUBSTITUTE(SUBSTITUTE(SUBSTITUTE(SUBSTITUTE(F201,"&lt;li&gt;",CHAR(10)),"&lt;/li&gt;",""),"&lt;br&gt;",CHAR(10)),"&lt;strong&gt;",""))</f>
        <v/>
      </c>
      <c r="H201" s="11" cm="1" t="str">
        <f t="array" ref="H201">IF(G201="","",SUBSTITUTE(SUBSTITUTE(SUBSTITUTE(SUBSTITUTE(SUBSTITUTE(G201,"&lt;p&gt;",""),"&lt;/p&gt;",""),"&lt;ul&gt;",""),"&lt;/ul&gt;",""),"&lt;/strong&gt;",""))</f>
        <v/>
      </c>
      <c r="I201" s="11" cm="1" t="str">
        <f t="array" ref="I201">IF(C201="","",IF(OR(H201="",H201=0,H201=FALSE),"-",H201))</f>
        <v/>
      </c>
      <c r="J201" s="12">
</c>
      <c r="K201" s="12">
</c>
      <c r="L201" s="9" cm="1" t="str">
        <f t="array" ref="L201">IF(C201="","",IF(K201="Mort / Plus rien à faire","KO","OK"))</f>
        <v/>
      </c>
      <c r="M201" s="18">
</c>
      <c r="N201" s="13" cm="1" t="str">
        <f t="array" ref="N201">IF(OR(C201="",M201="",M201=0),"",M201)</f>
        <v/>
      </c>
      <c r="O201" s="18">
</c>
      <c r="P201" s="13" cm="1" t="str">
        <f t="array" ref="P201">IF(C201="","",IF(OR(O201="",O201=0),"-",O201))</f>
        <v/>
      </c>
      <c r="Q201" s="19">
</c>
      <c r="R201" s="9" cm="1" t="str">
        <f t="array" ref="R201">IF(C201="","",ROUND(Q201/1000000,3)&amp;" M€")</f>
        <v/>
      </c>
      <c r="S201" s="20">
</c>
      <c r="T201" s="9" cm="1" t="str">
        <f t="array" ref="T201">IF(C201="","",SUBSTITUTE(S201,"","")&amp;"%")</f>
        <v/>
      </c>
      <c r="U201" s="11" cm="1" t="str">
        <f t="array" ref="U201">IF(($N201="")*($P201=""),"",IF(($N201&lt;&gt;"")*($N201&gt;TODAY()-9)*($N201&lt;TODAY()+1)*($P201&lt;&gt;"")*($P201&gt;=TODAY())*($P201&lt;=TODAY()+13),"Semaine passée &amp; à venir",IF(($N201&lt;&gt;"")*($N201&gt;TODAY()-9)*($N201&lt;TODAY()+1),"Semaine passée",IF(($P201&lt;&gt;"")*($P201&gt;=TODAY())*($P201&lt;=TODAY()+13),"À venir","Autre"))))</f>
        <v/>
      </c>
      <c r="V201" cm="1" t="n">
        <f t="array" ref="V201">IF(C201&lt;&gt;"",1,0)</f>
        <v>0</v>
      </c>
    </row>
    <row r="202" ht="78.75" customHeight="1">
      <c r="A202" s="16">
</c>
      <c r="B202" s="12">
</c>
      <c r="C202" s="10">
</c>
      <c r="D202" s="17">
</c>
      <c r="E202" s="12">
</c>
      <c r="F202" s="12">
</c>
      <c r="G202" s="11" cm="1" t="str">
        <f t="array" ref="G202">IF(F202="","",SUBSTITUTE(SUBSTITUTE(SUBSTITUTE(SUBSTITUTE(F202,"&lt;li&gt;",CHAR(10)),"&lt;/li&gt;",""),"&lt;br&gt;",CHAR(10)),"&lt;strong&gt;",""))</f>
        <v/>
      </c>
      <c r="H202" s="11" cm="1" t="str">
        <f t="array" ref="H202">IF(G202="","",SUBSTITUTE(SUBSTITUTE(SUBSTITUTE(SUBSTITUTE(SUBSTITUTE(G202,"&lt;p&gt;",""),"&lt;/p&gt;",""),"&lt;ul&gt;",""),"&lt;/ul&gt;",""),"&lt;/strong&gt;",""))</f>
        <v/>
      </c>
      <c r="I202" s="11" cm="1" t="str">
        <f t="array" ref="I202">IF(C202="","",IF(OR(H202="",H202=0,H202=FALSE),"-",H202))</f>
        <v/>
      </c>
      <c r="J202" s="12">
</c>
      <c r="K202" s="12">
</c>
      <c r="L202" s="9" cm="1" t="str">
        <f t="array" ref="L202">IF(C202="","",IF(K202="Mort / Plus rien à faire","KO","OK"))</f>
        <v/>
      </c>
      <c r="M202" s="18">
</c>
      <c r="N202" s="13" cm="1" t="str">
        <f t="array" ref="N202">IF(OR(C202="",M202="",M202=0),"",M202)</f>
        <v/>
      </c>
      <c r="O202" s="18">
</c>
      <c r="P202" s="13" cm="1" t="str">
        <f t="array" ref="P202">IF(C202="","",IF(OR(O202="",O202=0),"-",O202))</f>
        <v/>
      </c>
      <c r="Q202" s="19">
</c>
      <c r="R202" s="9" cm="1" t="str">
        <f t="array" ref="R202">IF(C202="","",ROUND(Q202/1000000,3)&amp;" M€")</f>
        <v/>
      </c>
      <c r="S202" s="20">
</c>
      <c r="T202" s="9" cm="1" t="str">
        <f t="array" ref="T202">IF(C202="","",SUBSTITUTE(S202,"","")&amp;"%")</f>
        <v/>
      </c>
      <c r="U202" s="11" cm="1" t="str">
        <f t="array" ref="U202">IF(($N202="")*($P202=""),"",IF(($N202&lt;&gt;"")*($N202&gt;TODAY()-9)*($N202&lt;TODAY()+1)*($P202&lt;&gt;"")*($P202&gt;=TODAY())*($P202&lt;=TODAY()+13),"Semaine passée &amp; à venir",IF(($N202&lt;&gt;"")*($N202&gt;TODAY()-9)*($N202&lt;TODAY()+1),"Semaine passée",IF(($P202&lt;&gt;"")*($P202&gt;=TODAY())*($P202&lt;=TODAY()+13),"À venir","Autre"))))</f>
        <v/>
      </c>
      <c r="V202" cm="1" t="n">
        <f t="array" ref="V202">IF(C202&lt;&gt;"",1,0)</f>
        <v>0</v>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Semaine passée &amp; à venir" operator="containsText" dxfId="0">
      <formula>NOT(ISERROR(SEARCH("Semaine passée &amp; à venir",U4)))</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tableParts count="1">
    <tablePart r:id="rId1"/>
  </tableParts>
</worksheet>
</file>